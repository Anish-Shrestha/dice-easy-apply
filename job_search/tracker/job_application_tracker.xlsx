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lliantazure-my.sharepoint.com/personal/anish_shrestha_alliant_com/Documents/Documents/Manish/final/job_search/tracker/"/>
    </mc:Choice>
  </mc:AlternateContent>
  <xr:revisionPtr revIDLastSave="694" documentId="11_9635EFAA386F1C2E7D7901ECB389941B6301C904" xr6:coauthVersionLast="47" xr6:coauthVersionMax="47" xr10:uidLastSave="{5A4C491E-9265-4E54-81B1-07BA86F2715C}"/>
  <bookViews>
    <workbookView xWindow="28680" yWindow="-120" windowWidth="29040" windowHeight="15720" xr2:uid="{00000000-000D-0000-FFFF-FFFF00000000}"/>
  </bookViews>
  <sheets>
    <sheet name="Applications" sheetId="1" r:id="rId1"/>
    <sheet name="Summary" sheetId="2" r:id="rId2"/>
    <sheet name="Cover Letter - John Deere" sheetId="3" r:id="rId3"/>
  </sheets>
  <definedNames>
    <definedName name="_xlnm._FilterDatabase" localSheetId="0" hidden="1">Applications!$A$1:$N$1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<sst xmlns="http://schemas.openxmlformats.org/spreadsheetml/2006/main" count="729" uniqueCount="434">
  <si>
    <t>#</t>
  </si>
  <si>
    <t>Date Applied</t>
  </si>
  <si>
    <t>Company</t>
  </si>
  <si>
    <t>Role / Title</t>
  </si>
  <si>
    <t>Req ID</t>
  </si>
  <si>
    <t>Location</t>
  </si>
  <si>
    <t>Work Type</t>
  </si>
  <si>
    <t>Status</t>
  </si>
  <si>
    <t>Resume Version</t>
  </si>
  <si>
    <t>Cover Letter</t>
  </si>
  <si>
    <t>Job Link</t>
  </si>
  <si>
    <t>Recruiter / Contact</t>
  </si>
  <si>
    <t>Follow-up Date</t>
  </si>
  <si>
    <t>Notes</t>
  </si>
  <si>
    <t>2026-06-11</t>
  </si>
  <si>
    <t>John Deere</t>
  </si>
  <si>
    <t>Embedded Software Engineer, Displays</t>
  </si>
  <si>
    <t>120793</t>
  </si>
  <si>
    <t>Dubuque, IA</t>
  </si>
  <si>
    <t>Onsite</t>
  </si>
  <si>
    <t>Applied</t>
  </si>
  <si>
    <t>resume.docx (final)</t>
  </si>
  <si>
    <t>cover_letters/cover_letter_john_deere_displays.docx</t>
  </si>
  <si>
    <t>https://johndeere.eightfold.ai/careers/apply?pid=137480957826</t>
  </si>
  <si>
    <t>2026-06-25</t>
  </si>
  <si>
    <t>Strong fit: SSD1306 OLED display driver + LCD HMIs; Ag &amp; Biosystems PhD; 120-day/0-failure deployment. Open to relocation. Applied via Eightfold.</t>
  </si>
  <si>
    <t>Undisclosed (high-speed electronics co.)</t>
  </si>
  <si>
    <t>Senior Embedded Systems Engineer</t>
  </si>
  <si>
    <t>Torrance, CA</t>
  </si>
  <si>
    <t>Permanent; $60-74 listed. Manufacturing / high-speed electronics. JD stresses Python, Java, Agile, DevOps, code review, mentoring. Fit: strong embedded/firmware + Python + Git/CI-CD + mentoring (was Asst. Prof/CTO); lighter on Java &amp; formal Agile/DevOps - lead with transferable experience.</t>
  </si>
  <si>
    <t>Undisclosed (manufacturer)</t>
  </si>
  <si>
    <t>Electronics Test Engineer</t>
  </si>
  <si>
    <t>316504604</t>
  </si>
  <si>
    <t>Camarillo, CA</t>
  </si>
  <si>
    <t>https://jobot.com/details/electronics-test-engineer/316504604</t>
  </si>
  <si>
    <t>Jobot</t>
  </si>
  <si>
    <t>Full-time, $95K-125K. Test automation for servo drives / power electronics. Wants C++, C#, SQL, CANopen, TCP/IP, schematic review. Fit: strong C# + C++, test/verification, schematic/PCB review, power-electronics (MPPT, motor control); gaps: SQL, CANopen-specific. Applied via Jobot.</t>
  </si>
  <si>
    <t>Wabtec</t>
  </si>
  <si>
    <t>Lead Systems Engineer - Controls &amp; Train Automation</t>
  </si>
  <si>
    <t>West Melbourne, FL</t>
  </si>
  <si>
    <t>https://www.dice.com/job-detail/99c8a1e5-ca50-476e-9621-6f04648ff536</t>
  </si>
  <si>
    <t>Dice</t>
  </si>
  <si>
    <t>Full-time, $79K-113K. Rail/train automation controls. Wants MATLAB/Simulink, control theory, embedded, system integration/validation; Python/C++ &amp; safety-critical a plus. Fit: strong embedded + MATLAB (DSP/FFT/IIR/FIR) + control systems (taught + motor-control firmware) + aerospace SHM (KAIST aircraft) + C++/Python; gap: Simulink not explicit (has MATLAB).</t>
  </si>
  <si>
    <t>Undisclosed (via Motion Recruitment)</t>
  </si>
  <si>
    <t>Sr. Embedded Systems Engineer</t>
  </si>
  <si>
    <t>Lake Forest, CA</t>
  </si>
  <si>
    <t>cover_letters/cover_letter_sr_embedded_lakeforest.pdf</t>
  </si>
  <si>
    <t>https://www.dice.com/job-detail/39942482-5f01-4d10-a29a-be0c3e265d52</t>
  </si>
  <si>
    <t>Motion Recruitment (Dice)</t>
  </si>
  <si>
    <t>Full-time, $150K-180K, onsite. Low-power wireless/RF IoT. Wants C/C++/Python, RTOS, embedded Linux (uboot/kernel/BSP/Yocto), wireless/RF, CI/CD. Fit: strong firmware/RTOS/low-power/wireless/IoT + DSP (FFT/IIR/FIR); gaps: Yocto/custom-kernel Linux, RF protocol design. Tailored cover letter created.</t>
  </si>
  <si>
    <t>Undisclosed (via Dice)</t>
  </si>
  <si>
    <t>Senior Embedded Firmware Engineer (Contract)</t>
  </si>
  <si>
    <t>Mahwah, NJ</t>
  </si>
  <si>
    <t>Saved</t>
  </si>
  <si>
    <t>cover_letters/cover_letter_sr_firmware_mahwah.pdf</t>
  </si>
  <si>
    <t>https://www.dice.com/job-detail/a752d86a-1271-45d6-aba5-176ced9ea427</t>
  </si>
  <si>
    <t>Contract, onsite. Connected consumer products. NEAR-PERFECT FIT: C/C++/32-bit ARM, board bring-up, UART/SPI/I2C, Wi-Fi/BLE, RTOS, TCP/IP, OTA/bootloader/secure, ESP modules, embedded displays (OLED), Azure IoT, Docker CI/CD. Soft spots: spectrum analyzer (not explicit), formal Agile/Scrum. Tailored cover letter created. Status=Saved until applied.</t>
  </si>
  <si>
    <t>Undisclosed (via Kforce)</t>
  </si>
  <si>
    <t>Firing Systems Embedded Software Engineer</t>
  </si>
  <si>
    <t>Corvallis, OR</t>
  </si>
  <si>
    <t>https://www.dice.com/job-detail/f0845a7e-f43b-4cbf-afd6-7212a02d001b</t>
  </si>
  <si>
    <t>Kforce (Dice)</t>
  </si>
  <si>
    <t>Contract W2, $36-49/hr, onsite. Maintain PrintApp (C# PC app interfacing printhead test hardware); bug fixes/features; cross-layer SW/FW/HW debugging. Fit: strong C#/.NET + ASP.NET + hardware-firmware debugging; PC-software-leaning role, lower comp; no printing domain (learnable).</t>
  </si>
  <si>
    <t>2026-06-12</t>
  </si>
  <si>
    <t>OSI Engineering, Inc.</t>
  </si>
  <si>
    <t>Technical Incident Manager - Embedded Systems Support</t>
  </si>
  <si>
    <t>Cupertino, CA</t>
  </si>
  <si>
    <t>OSI Engineering</t>
  </si>
  <si>
    <t>2026-06-26</t>
  </si>
  <si>
    <t>Via OSI Engineering (Cupertino - likely Apple client). Support / incident-management role for embedded systems, NOT hands-on firmware dev - different track from his other applications. Pay, link, and full requirements not captured (from screenshot).</t>
  </si>
  <si>
    <t>Application Summary</t>
  </si>
  <si>
    <t>Total Applications</t>
  </si>
  <si>
    <t>Phone Screen</t>
  </si>
  <si>
    <t>Interview</t>
  </si>
  <si>
    <t>Onsite/Final</t>
  </si>
  <si>
    <t>Offer</t>
  </si>
  <si>
    <t>Rejected</t>
  </si>
  <si>
    <t>No Response</t>
  </si>
  <si>
    <t>MANISH MAN SHRESTHA</t>
  </si>
  <si>
    <t>Firmware &amp; Embedded Systems Engineer  |  IoT Developer</t>
  </si>
  <si>
    <t>mshrestha789@gmail.com  |  +1-605-592-4473  |  Brookings, SD</t>
  </si>
  <si>
    <t>June 11, 2026</t>
  </si>
  <si>
    <t>Hiring Team</t>
  </si>
  <si>
    <t>John Deere - Intelligent Solutions Group</t>
  </si>
  <si>
    <t>Dubuque, Iowa</t>
  </si>
  <si>
    <t>Re: Embedded Software Engineer, Displays (Requisition 120793)</t>
  </si>
  <si>
    <t>Dear Hiring Team,</t>
  </si>
  <si>
    <t>I am excited to apply for the Embedded Software Engineer, Displays role. Few openings align as closely with my background as this one: I have spent 15 years building real-time embedded firmware - including on-device display and HMI software - and my doctoral research centers on the very domain John Deere leads, technology that helps agriculture serve the world.</t>
  </si>
  <si>
    <t>Here is how my experience maps to what the role calls for:</t>
  </si>
  <si>
    <t>•  Embedded C/C++ product development: I develop real-time firmware in Embedded C/C++ across ARM Cortex-M (STM32, NXP/LPC) and ESP32 - device drivers, board bring-up, and RTOS-based architectures delivered on real hardware.</t>
  </si>
  <si>
    <t>•  Display / HMI software: I designed and integrated a custom I2C SSD1306 OLED display driver for live device status and measurement feedback on a multichannel monitoring instrument, and built LCD and push-button interfaces for production panel meters.</t>
  </si>
  <si>
    <t>•  Agricultural and industrial machine environments: My Ph.D. in Agricultural &amp; Biosystems Engineering (completing May 2026) involved designing and field-deploying embedded sensing and control systems for greenhouse and hydroponic production - including a 120-day field deployment that ran with zero failures.</t>
  </si>
  <si>
    <t>•  Delivering to production with cross-functional teams: As a firmware engineer I shipped firmware for four distinct commercial products, and as a CTO I led embedded systems from concept through hardware integration and production validation, using Git-based version control and CI/CD.</t>
  </si>
  <si>
    <t>•  Linux and application software: I develop on Linux-based platforms (Raspberry Pi) and have built supporting applications and dashboards (C#/.NET, ASP.NET) for real-time data retrieval and visualization.</t>
  </si>
  <si>
    <t>What draws me specifically to John Deere is the mission fit. I have spent my research career making controlled-environment agriculture smarter and more reliable; bringing that perspective to the displays farmers rely on every day would be a natural and motivating next step. I am based in Brookings, SD and am glad to relocate to Dubuque.</t>
  </si>
  <si>
    <t>I would welcome the chance to discuss how my embedded firmware and agricultural-systems background can contribute to your display software team. Thank you for your consideration.</t>
  </si>
  <si>
    <t>Sincerely,</t>
  </si>
  <si>
    <t>Manish Man Shrestha</t>
  </si>
  <si>
    <t>Market Street Talent</t>
  </si>
  <si>
    <t>Principal Embedded Firmware Engineer</t>
  </si>
  <si>
    <t>Portland, ME (Hybrid)</t>
  </si>
  <si>
    <t>Cover letter PDF: C:\Users\ashrestha\OneDrive - Alliant Insurance Services, Inc\Documents\Manish\final\cover_letters\cover_letter_20260612_1248.pdf | Cover letter MD: C:\Users\ashrestha\OneDrive - Alliant Insurance Services, Inc\Documents\Manish\final\cover_letters\cover_letter_20260612_1248.md</t>
  </si>
  <si>
    <t>https://www.dice.com/job-detail/cd605c0d-690d-43e3-897c-f441a336e3b5</t>
  </si>
  <si>
    <t>C:\Users\ashrestha\OneDrive - Alliant Insurance Services, Inc\Documents\Manish\final\cover_letters\cover_letter_20260612_1248.pdf</t>
  </si>
  <si>
    <t>C:\Users\ashrestha\OneDrive - Alliant Insurance Services, Inc\Documents\Manish\final\cover_letters\cover_letter_20260612_1248.md</t>
  </si>
  <si>
    <t>C:\Users\ashrestha\OneDrive - Alliant Insurance Services, Inc\Documents\Manish\final\job_search\job_descriptions\job_description_market_street_talent_principal_embedded_firmware_engineer_20260612_1248.txt</t>
  </si>
  <si>
    <t>Job description: C:\Users\ashrestha\OneDrive - Alliant Insurance Services, Inc\Documents\Manish\final\job_search\job_descriptions\job_description_market_street_talent_principal_embedded_firmware_engineer_20260612_1258.txt | Cover letter PDF: C:\Users\ashrestha\OneDrive - Alliant Insurance Services, Inc\Documents\Manish\final\cover_letters\cover_letter_20260612_1258.pdf | Cover letter MD: C:\Users\ashrestha\OneDrive - Alliant Insurance Services, Inc\Documents\Manish\final\cover_letters\cover_letter_20260612_1258.md</t>
  </si>
  <si>
    <t>C:\Users\ashrestha\OneDrive - Alliant Insurance Services, Inc\Documents\Manish\final\cover_letters\cover_letter_20260612_1258.pdf</t>
  </si>
  <si>
    <t>C:\Users\ashrestha\OneDrive - Alliant Insurance Services, Inc\Documents\Manish\final\cover_letters\cover_letter_20260612_1258.md</t>
  </si>
  <si>
    <t>C:\Users\ashrestha\OneDrive - Alliant Insurance Services, Inc\Documents\Manish\final\job_search\job_descriptions\job_description_market_street_talent_principal_embedded_firmware_engineer_20260612_1258.txt</t>
  </si>
  <si>
    <t>Magicforce</t>
  </si>
  <si>
    <t>Lead Firmware Engineer (Embedded, C++)</t>
  </si>
  <si>
    <t>Dallas, TX (Onsite)</t>
  </si>
  <si>
    <t>Job description: C:\Users\ashrestha\OneDrive - Alliant Insurance Services, Inc\Documents\Manish\final\job_search\job_descriptions\job_description_magicforce_lead_firmware_engineer_embedded_c_20260612_1259.txt | Cover letter PDF: C:\Users\ashrestha\OneDrive - Alliant Insurance Services, Inc\Documents\Manish\final\cover_letters\cover_letter_20260612_1259.pdf | Cover letter MD: C:\Users\ashrestha\OneDrive - Alliant Insurance Services, Inc\Documents\Manish\final\cover_letters\cover_letter_20260612_1259.md</t>
  </si>
  <si>
    <t>https://www.dice.com/job-detail/b5986610-c022-42f9-b38d-7f19ba4c08d3</t>
  </si>
  <si>
    <t>C:\Users\ashrestha\OneDrive - Alliant Insurance Services, Inc\Documents\Manish\final\cover_letters\cover_letter_20260612_1259.pdf</t>
  </si>
  <si>
    <t>C:\Users\ashrestha\OneDrive - Alliant Insurance Services, Inc\Documents\Manish\final\cover_letters\cover_letter_20260612_1259.md</t>
  </si>
  <si>
    <t>C:\Users\ashrestha\OneDrive - Alliant Insurance Services, Inc\Documents\Manish\final\job_search\job_descriptions\job_description_magicforce_lead_firmware_engineer_embedded_c_20260612_1259.txt</t>
  </si>
  <si>
    <t>Applied (captured from A response during interactive session)</t>
  </si>
  <si>
    <t>Motion Recruitment</t>
  </si>
  <si>
    <t>Senior Embedded Engineer / Linux, IoT</t>
  </si>
  <si>
    <t>Irvine, CA (Onsite)</t>
  </si>
  <si>
    <t>Applied (captured from A response). Job description: C:\Users\ashrestha\OneDrive - Alliant Insurance Services, Inc\Documents\Manish\final\job_search\job_descriptions\job_description_motion_recruitment_senior_embedded_engineer_linux_iot_20260612_1300.txt | Cover letter PDF: C:\Users\ashrestha\OneDrive - Alliant Insurance Services, Inc\Documents\Manish\final\cover_letters\cover_letter_20260612_1300.pdf</t>
  </si>
  <si>
    <t>https://www.dice.com/job-detail/63beeb5e-03ca-4e28-86b1-5b2361d37d16</t>
  </si>
  <si>
    <t>Job description: C:\Users\ashrestha\OneDrive - Alliant Insurance Services, Inc\Documents\Manish\final\job_search\job_descriptions\job_description_market_street_talent_principal_embedded_firmware_engineer_20260612_1308.txt | Cover letter PDF: C:\Users\ashrestha\OneDrive - Alliant Insurance Services, Inc\Documents\Manish\final\cover_letters\cover_letter_20260612_1308.pdf | Cover letter MD: C:\Users\ashrestha\OneDrive - Alliant Insurance Services, Inc\Documents\Manish\final\cover_letters\cover_letter_20260612_1308.md</t>
  </si>
  <si>
    <t>C:\Users\ashrestha\OneDrive - Alliant Insurance Services, Inc\Documents\Manish\final\cover_letters\cover_letter_20260612_1308.pdf</t>
  </si>
  <si>
    <t>C:\Users\ashrestha\OneDrive - Alliant Insurance Services, Inc\Documents\Manish\final\cover_letters\cover_letter_20260612_1308.md</t>
  </si>
  <si>
    <t>C:\Users\ashrestha\OneDrive - Alliant Insurance Services, Inc\Documents\Manish\final\job_search\job_descriptions\job_description_market_street_talent_principal_embedded_firmware_engineer_20260612_1308.txt</t>
  </si>
  <si>
    <t>Sovereign Technologies</t>
  </si>
  <si>
    <t>Embedded Firmware Software Engineer (W2)</t>
  </si>
  <si>
    <t>Eagan, MN (Onsite)</t>
  </si>
  <si>
    <t>Job description: C:\Users\ashrestha\OneDrive - Alliant Insurance Services, Inc\Documents\Manish\final\job_search\job_descriptions\job_description_sovereign_technologies_embedded_firmware_software_engineer_w2_20260612_1310.txt | Cover letter PDF: C:\Users\ashrestha\OneDrive - Alliant Insurance Services, Inc\Documents\Manish\final\cover_letters\cover_letter_20260612_1310.pdf | Cover letter MD: C:\Users\ashrestha\OneDrive - Alliant Insurance Services, Inc\Documents\Manish\final\cover_letters\cover_letter_20260612_1310.md</t>
  </si>
  <si>
    <t>https://www.dice.com/job-detail/08938c72-de9e-498b-84dc-8c9ae0ffa1c4</t>
  </si>
  <si>
    <t>C:\Users\ashrestha\OneDrive - Alliant Insurance Services, Inc\Documents\Manish\final\cover_letters\cover_letter_20260612_1310.pdf</t>
  </si>
  <si>
    <t>C:\Users\ashrestha\OneDrive - Alliant Insurance Services, Inc\Documents\Manish\final\cover_letters\cover_letter_20260612_1310.md</t>
  </si>
  <si>
    <t>C:\Users\ashrestha\OneDrive - Alliant Insurance Services, Inc\Documents\Manish\final\job_search\job_descriptions\job_description_sovereign_technologies_embedded_firmware_software_engineer_w2_20260612_1310.txt</t>
  </si>
  <si>
    <t>A | Job description: C:\Users\ashrestha\OneDrive - Alliant Insurance Services, Inc\Documents\Manish\final\job_search\job_descriptions\job_description_motion_recruitment_senior_embedded_engineer_linux_iot_20260612_1311.txt | Cover letter PDF: C:\Users\ashrestha\OneDrive - Alliant Insurance Services, Inc\Documents\Manish\final\cover_letters\cover_letter_20260612_1311.pdf | Cover letter MD: C:\Users\ashrestha\OneDrive - Alliant Insurance Services, Inc\Documents\Manish\final\cover_letters\cover_letter_20260612_1311.md</t>
  </si>
  <si>
    <t>C:\Users\ashrestha\OneDrive - Alliant Insurance Services, Inc\Documents\Manish\final\cover_letters\cover_letter_20260612_1311.pdf</t>
  </si>
  <si>
    <t>C:\Users\ashrestha\OneDrive - Alliant Insurance Services, Inc\Documents\Manish\final\cover_letters\cover_letter_20260612_1311.md</t>
  </si>
  <si>
    <t>C:\Users\ashrestha\OneDrive - Alliant Insurance Services, Inc\Documents\Manish\final\job_search\job_descriptions\job_description_motion_recruitment_senior_embedded_engineer_linux_iot_20260612_1311.txt</t>
  </si>
  <si>
    <t>Applied (corrected after optional-note mis-entry).</t>
  </si>
  <si>
    <t>Sr. Embedded Systems Engineer / C / BLE</t>
  </si>
  <si>
    <t>Lake Forest, CA (Onsite)</t>
  </si>
  <si>
    <t>Applied (captured from user response). Job description: C:\Users\ashrestha\OneDrive - Alliant Insurance Services, Inc\Documents\Manish\final\job_search\job_descriptions\job_description_motion_recruitment_sr_embedded_systems_engineer_c_ble_20260612_1312.txt | Cover letter PDF: C:\Users\ashrestha\OneDrive - Alliant Insurance Services, Inc\Documents\Manish\final\cover_letters\cover_letter_20260612_1312.pdf</t>
  </si>
  <si>
    <t>Job description: C:\Users\ashrestha\OneDrive - Alliant Insurance Services, Inc\Documents\Manish\final\job_search\job_descriptions\job_description_motion_recruitment_sr_embedded_systems_engineer_c_ble_20260612_1312.txt | Cover letter PDF: C:\Users\ashrestha\OneDrive - Alliant Insurance Services, Inc\Documents\Manish\final\cover_letters\cover_letter_20260612_1312.pdf | Cover letter MD: C:\Users\ashrestha\OneDrive - Alliant Insurance Services, Inc\Documents\Manish\final\cover_letters\cover_letter_20260612_1312.md</t>
  </si>
  <si>
    <t>C:\Users\ashrestha\OneDrive - Alliant Insurance Services, Inc\Documents\Manish\final\cover_letters\cover_letter_20260612_1312.pdf</t>
  </si>
  <si>
    <t>C:\Users\ashrestha\OneDrive - Alliant Insurance Services, Inc\Documents\Manish\final\cover_letters\cover_letter_20260612_1312.md</t>
  </si>
  <si>
    <t>C:\Users\ashrestha\OneDrive - Alliant Insurance Services, Inc\Documents\Manish\final\job_search\job_descriptions\job_description_motion_recruitment_sr_embedded_systems_engineer_c_ble_20260612_1312.txt</t>
  </si>
  <si>
    <t>Firmware Engineer / Onsite / PA</t>
  </si>
  <si>
    <t>Audubon, PA (Onsite)</t>
  </si>
  <si>
    <t>Applied (captured from user response).</t>
  </si>
  <si>
    <t>https://www.dice.com/job-detail/891cb307-5cf1-4405-8240-037fb4101ee5</t>
  </si>
  <si>
    <t>Job description: C:\Users\ashrestha\OneDrive - Alliant Insurance Services, Inc\Documents\Manish\final\job_search\job_descriptions\job_description_motion_recruitment_firmware_engineer_onsite_pa_20260612_1313.txt | Cover letter PDF: C:\Users\ashrestha\OneDrive - Alliant Insurance Services, Inc\Documents\Manish\final\cover_letters\cover_letter_20260612_1313.pdf | Cover letter MD: C:\Users\ashrestha\OneDrive - Alliant Insurance Services, Inc\Documents\Manish\final\cover_letters\cover_letter_20260612_1313.md</t>
  </si>
  <si>
    <t>C:\Users\ashrestha\OneDrive - Alliant Insurance Services, Inc\Documents\Manish\final\cover_letters\cover_letter_20260612_1313.pdf</t>
  </si>
  <si>
    <t>C:\Users\ashrestha\OneDrive - Alliant Insurance Services, Inc\Documents\Manish\final\cover_letters\cover_letter_20260612_1313.md</t>
  </si>
  <si>
    <t>C:\Users\ashrestha\OneDrive - Alliant Insurance Services, Inc\Documents\Manish\final\job_search\job_descriptions\job_description_motion_recruitment_firmware_engineer_onsite_pa_20260612_1313.txt</t>
  </si>
  <si>
    <t>Tanisha Systems</t>
  </si>
  <si>
    <t>Firmware/Embedded Engineer</t>
  </si>
  <si>
    <t>Redmond, WA or Austin, TX (Onsite)</t>
  </si>
  <si>
    <t>Job description: C:\Users\ashrestha\OneDrive - Alliant Insurance Services, Inc\Documents\Manish\final\job_search\job_descriptions\job_description_tanisha_systems_firmwareembedded_engineer_20260612_1316.txt | Cover letter PDF: C:\Users\ashrestha\OneDrive - Alliant Insurance Services, Inc\Documents\Manish\final\cover_letters\cover_letter_20260612_1316.pdf | Cover letter MD: C:\Users\ashrestha\OneDrive - Alliant Insurance Services, Inc\Documents\Manish\final\cover_letters\cover_letter_20260612_1316.md</t>
  </si>
  <si>
    <t>https://www.dice.com/job-detail/1526045c-6088-4eb8-a533-649cac0f6f8a</t>
  </si>
  <si>
    <t>C:\Users\ashrestha\OneDrive - Alliant Insurance Services, Inc\Documents\Manish\final\cover_letters\cover_letter_20260612_1316.pdf</t>
  </si>
  <si>
    <t>C:\Users\ashrestha\OneDrive - Alliant Insurance Services, Inc\Documents\Manish\final\cover_letters\cover_letter_20260612_1316.md</t>
  </si>
  <si>
    <t>C:\Users\ashrestha\OneDrive - Alliant Insurance Services, Inc\Documents\Manish\final\job_search\job_descriptions\job_description_tanisha_systems_firmwareembedded_engineer_20260612_1316.txt</t>
  </si>
  <si>
    <t>Job description: C:\Users\ashrestha\OneDrive - Alliant Insurance Services, Inc\Documents\Manish\final\job_search\job_descriptions\job_description_market_street_talent_principal_embedded_firmware_engineer_20260612_1321.txt | Cover letter PDF: C:\Users\ashrestha\OneDrive - Alliant Insurance Services, Inc\Documents\Manish\final\cover_letters\cover_letter_20260612_1321.pdf | Cover letter MD: C:\Users\ashrestha\OneDrive - Alliant Insurance Services, Inc\Documents\Manish\final\cover_letters\cover_letter_20260612_1321.md</t>
  </si>
  <si>
    <t>C:\Users\ashrestha\OneDrive - Alliant Insurance Services, Inc\Documents\Manish\final\cover_letters\cover_letter_20260612_1321.pdf</t>
  </si>
  <si>
    <t>C:\Users\ashrestha\OneDrive - Alliant Insurance Services, Inc\Documents\Manish\final\cover_letters\cover_letter_20260612_1321.md</t>
  </si>
  <si>
    <t>C:\Users\ashrestha\OneDrive - Alliant Insurance Services, Inc\Documents\Manish\final\job_search\job_descriptions\job_description_market_street_talent_principal_embedded_firmware_engineer_20260612_1321.txt</t>
  </si>
  <si>
    <t>Senior Embedded Firmware Engineer / RTOS / CAN</t>
  </si>
  <si>
    <t>Job description: C:\Users\ashrestha\OneDrive - Alliant Insurance Services, Inc\Documents\Manish\final\job_search\job_descriptions\job_description_motion_recruitment_senior_embedded_firmware_engineer_rtos_can_20260612_1330.txt | Cover letter PDF: C:\Users\ashrestha\OneDrive - Alliant Insurance Services, Inc\Documents\Manish\final\cover_letters\cover_letter_20260612_1330.pdf | Cover letter MD: C:\Users\ashrestha\OneDrive - Alliant Insurance Services, Inc\Documents\Manish\final\cover_letters\cover_letter_20260612_1330.md</t>
  </si>
  <si>
    <t>https://www.dice.com/job-detail/64453aca-d70d-480b-9e6e-105fff93712d</t>
  </si>
  <si>
    <t>C:\Users\ashrestha\OneDrive - Alliant Insurance Services, Inc\Documents\Manish\final\cover_letters\cover_letter_20260612_1330.pdf</t>
  </si>
  <si>
    <t>C:\Users\ashrestha\OneDrive - Alliant Insurance Services, Inc\Documents\Manish\final\cover_letters\cover_letter_20260612_1330.md</t>
  </si>
  <si>
    <t>C:\Users\ashrestha\OneDrive - Alliant Insurance Services, Inc\Documents\Manish\final\job_search\job_descriptions\job_description_motion_recruitment_senior_embedded_firmware_engineer_rtos_can_20260612_1330.txt</t>
  </si>
  <si>
    <t>Data Wave Technologies</t>
  </si>
  <si>
    <t>Senior Firmware Principal Engineer</t>
  </si>
  <si>
    <t>Santa Clara, CA (Onsite)</t>
  </si>
  <si>
    <t>Job description: C:\Users\ashrestha\OneDrive - Alliant Insurance Services, Inc\Documents\Manish\final\job_search\job_descriptions\job_description_data_wave_technologies_senior_firmware_principal_engineer_20260612_1332.txt | Cover letter PDF: C:\Users\ashrestha\OneDrive - Alliant Insurance Services, Inc\Documents\Manish\final\cover_letters\cover_letter_20260612_1332.pdf | Cover letter MD: C:\Users\ashrestha\OneDrive - Alliant Insurance Services, Inc\Documents\Manish\final\cover_letters\cover_letter_20260612_1332.md</t>
  </si>
  <si>
    <t>https://www.dice.com/job-detail/6f8362eb-9fcd-442a-a6b9-7da963bc7ade</t>
  </si>
  <si>
    <t>C:\Users\ashrestha\OneDrive - Alliant Insurance Services, Inc\Documents\Manish\final\cover_letters\cover_letter_20260612_1332.pdf</t>
  </si>
  <si>
    <t>C:\Users\ashrestha\OneDrive - Alliant Insurance Services, Inc\Documents\Manish\final\cover_letters\cover_letter_20260612_1332.md</t>
  </si>
  <si>
    <t>C:\Users\ashrestha\OneDrive - Alliant Insurance Services, Inc\Documents\Manish\final\job_search\job_descriptions\job_description_data_wave_technologies_senior_firmware_principal_engineer_20260612_1332.txt</t>
  </si>
  <si>
    <t>Embedded C++ Developer/Engineer</t>
  </si>
  <si>
    <t>Redmond, WA (Onsite)</t>
  </si>
  <si>
    <t>Job description: C:\Users\ashrestha\OneDrive - Alliant Insurance Services, Inc\Documents\Manish\final\job_search\job_descriptions\job_description_tanisha_systems_embedded_c_developerengineer_20260612_1334.txt | Cover letter PDF: C:\Users\ashrestha\OneDrive - Alliant Insurance Services, Inc\Documents\Manish\final\cover_letters\cover_letter_20260612_1334.pdf | Cover letter MD: C:\Users\ashrestha\OneDrive - Alliant Insurance Services, Inc\Documents\Manish\final\cover_letters\cover_letter_20260612_1334.md</t>
  </si>
  <si>
    <t>https://www.dice.com/job-detail/8a7fb5b3-4a5f-47d7-a58f-90749bcf6eaf</t>
  </si>
  <si>
    <t>C:\Users\ashrestha\OneDrive - Alliant Insurance Services, Inc\Documents\Manish\final\cover_letters\cover_letter_20260612_1334.pdf</t>
  </si>
  <si>
    <t>C:\Users\ashrestha\OneDrive - Alliant Insurance Services, Inc\Documents\Manish\final\cover_letters\cover_letter_20260612_1334.md</t>
  </si>
  <si>
    <t>C:\Users\ashrestha\OneDrive - Alliant Insurance Services, Inc\Documents\Manish\final\job_search\job_descriptions\job_description_tanisha_systems_embedded_c_developerengineer_20260612_1334.txt</t>
  </si>
  <si>
    <t>TechSpace Solutions Inc.</t>
  </si>
  <si>
    <t>Embedded Software Engineer</t>
  </si>
  <si>
    <t>Job description: C:\Users\ashrestha\OneDrive - Alliant Insurance Services, Inc\Documents\Manish\final\job_search\job_descriptions\job_description_techspace_solutions_inc_embedded_software_engineer_20260612_1350.txt | Cover letter PDF: C:\Users\ashrestha\OneDrive - Alliant Insurance Services, Inc\Documents\Manish\final\cover_letters\cover_letter_20260612_1350.pdf | Cover letter MD: C:\Users\ashrestha\OneDrive - Alliant Insurance Services, Inc\Documents\Manish\final\cover_letters\cover_letter_20260612_1350.md</t>
  </si>
  <si>
    <t>https://www.dice.com/job-detail/a19a1907-a986-4a38-b28a-caf2f28dc2cc</t>
  </si>
  <si>
    <t>C:\Users\ashrestha\OneDrive - Alliant Insurance Services, Inc\Documents\Manish\final\cover_letters\cover_letter_20260612_1350.pdf</t>
  </si>
  <si>
    <t>C:\Users\ashrestha\OneDrive - Alliant Insurance Services, Inc\Documents\Manish\final\cover_letters\cover_letter_20260612_1350.md</t>
  </si>
  <si>
    <t>C:\Users\ashrestha\OneDrive - Alliant Insurance Services, Inc\Documents\Manish\final\job_search\job_descriptions\job_description_techspace_solutions_inc_embedded_software_engineer_20260612_1350.txt</t>
  </si>
  <si>
    <t>Toyota Material Handling North America</t>
  </si>
  <si>
    <t>Firmware Engineer</t>
  </si>
  <si>
    <t>Columbus, IN (Onsite)</t>
  </si>
  <si>
    <t>Job description: C:\Users\ashrestha\OneDrive - Alliant Insurance Services, Inc\Documents\Manish\final\job_search\job_descriptions\job_description_toyota_material_handling_north_america_firmware_engineer_20260612_1353.txt | Cover letter PDF: C:\Users\ashrestha\OneDrive - Alliant Insurance Services, Inc\Documents\Manish\final\cover_letters\cover_letter_20260612_1353.pdf | Cover letter MD: C:\Users\ashrestha\OneDrive - Alliant Insurance Services, Inc\Documents\Manish\final\cover_letters\cover_letter_20260612_1353.md</t>
  </si>
  <si>
    <t>https://www.dice.com/job-detail/f02dc539-356f-40bc-b120-c56cd519455a</t>
  </si>
  <si>
    <t>C:\Users\ashrestha\OneDrive - Alliant Insurance Services, Inc\Documents\Manish\final\cover_letters\cover_letter_20260612_1353.pdf</t>
  </si>
  <si>
    <t>C:\Users\ashrestha\OneDrive - Alliant Insurance Services, Inc\Documents\Manish\final\cover_letters\cover_letter_20260612_1353.md</t>
  </si>
  <si>
    <t>C:\Users\ashrestha\OneDrive - Alliant Insurance Services, Inc\Documents\Manish\final\job_search\job_descriptions\job_description_toyota_material_handling_north_america_firmware_engineer_20260612_1353.txt</t>
  </si>
  <si>
    <t>Sharpedge Solutions</t>
  </si>
  <si>
    <t>Embedded System Engineer</t>
  </si>
  <si>
    <t>Danvers, MA (Onsite)</t>
  </si>
  <si>
    <t>Job description: C:\Users\ashrestha\OneDrive - Alliant Insurance Services, Inc\Documents\Manish\final\job_search\job_descriptions\job_description_sharpedge_solutions_embedded_system_engineer_20260612_1355.txt | Cover letter PDF: C:\Users\ashrestha\OneDrive - Alliant Insurance Services, Inc\Documents\Manish\final\cover_letters\cover_letter_20260612_1355.pdf | Cover letter MD: C:\Users\ashrestha\OneDrive - Alliant Insurance Services, Inc\Documents\Manish\final\cover_letters\cover_letter_20260612_1355.md</t>
  </si>
  <si>
    <t>https://www.dice.com/job-detail/39ece6e9-3cfc-4f3f-bdfe-5196c6dc284c</t>
  </si>
  <si>
    <t>C:\Users\ashrestha\OneDrive - Alliant Insurance Services, Inc\Documents\Manish\final\cover_letters\cover_letter_20260612_1355.pdf</t>
  </si>
  <si>
    <t>C:\Users\ashrestha\OneDrive - Alliant Insurance Services, Inc\Documents\Manish\final\cover_letters\cover_letter_20260612_1355.md</t>
  </si>
  <si>
    <t>C:\Users\ashrestha\OneDrive - Alliant Insurance Services, Inc\Documents\Manish\final\job_search\job_descriptions\job_description_sharpedge_solutions_embedded_system_engineer_20260612_1355.txt</t>
  </si>
  <si>
    <t>Apex Systems</t>
  </si>
  <si>
    <t>Embedded Software/Firmware Engineer</t>
  </si>
  <si>
    <t>Atlanta, GA (Onsite)</t>
  </si>
  <si>
    <t>Skipped</t>
  </si>
  <si>
    <t>Job description: C:\Users\ashrestha\OneDrive - Alliant Insurance Services, Inc\Documents\Manish\final\job_search\job_descriptions\job_description_apex_systems_embedded_softwarefirmware_engineer_20260612_1356.txt | Cover letter PDF: C:\Users\ashrestha\OneDrive - Alliant Insurance Services, Inc\Documents\Manish\final\cover_letters\cover_letter_20260612_1356.pdf | Cover letter MD: C:\Users\ashrestha\OneDrive - Alliant Insurance Services, Inc\Documents\Manish\final\cover_letters\cover_letter_20260612_1356.md</t>
  </si>
  <si>
    <t>https://www.dice.com/job-detail/8bbd3505-1779-48d3-b9d2-8a548856ac38</t>
  </si>
  <si>
    <t>C:\Users\ashrestha\OneDrive - Alliant Insurance Services, Inc\Documents\Manish\final\cover_letters\cover_letter_20260612_1356.pdf</t>
  </si>
  <si>
    <t>C:\Users\ashrestha\OneDrive - Alliant Insurance Services, Inc\Documents\Manish\final\cover_letters\cover_letter_20260612_1356.md</t>
  </si>
  <si>
    <t>C:\Users\ashrestha\OneDrive - Alliant Insurance Services, Inc\Documents\Manish\final\job_search\job_descriptions\job_description_apex_systems_embedded_softwarefirmware_engineer_20260612_1356.txt</t>
  </si>
  <si>
    <t>Mid-level Embedded Engineer / C / RTOS</t>
  </si>
  <si>
    <t>Job description: C:\Users\ashrestha\OneDrive - Alliant Insurance Services, Inc\Documents\Manish\final\job_search\job_descriptions\job_description_motion_recruitment_mid-level_embedded_engineer_c_rtos_20260612_1401.txt | Cover letter PDF: C:\Users\ashrestha\OneDrive - Alliant Insurance Services, Inc\Documents\Manish\final\cover_letters\cover_letter_20260612_1401.pdf | Cover letter MD: C:\Users\ashrestha\OneDrive - Alliant Insurance Services, Inc\Documents\Manish\final\cover_letters\cover_letter_20260612_1401.md</t>
  </si>
  <si>
    <t>https://www.dice.com/job-detail/774e9df6-e28e-4258-a8ca-0b16ccebb3c6</t>
  </si>
  <si>
    <t>C:\Users\ashrestha\OneDrive - Alliant Insurance Services, Inc\Documents\Manish\final\cover_letters\cover_letter_20260612_1401.pdf</t>
  </si>
  <si>
    <t>C:\Users\ashrestha\OneDrive - Alliant Insurance Services, Inc\Documents\Manish\final\cover_letters\cover_letter_20260612_1401.md</t>
  </si>
  <si>
    <t>C:\Users\ashrestha\OneDrive - Alliant Insurance Services, Inc\Documents\Manish\final\job_search\job_descriptions\job_description_motion_recruitment_mid-level_embedded_engineer_c_rtos_20260612_1401.txt</t>
  </si>
  <si>
    <t>Embedded Systems Engineer</t>
  </si>
  <si>
    <t>San Antonio, TX (Onsite)</t>
  </si>
  <si>
    <t>Job description: C:\Users\ashrestha\OneDrive - Alliant Insurance Services, Inc\Documents\Manish\final\job_search\job_descriptions\job_description_apex_systems_embedded_systems_engineer_20260612_1404.txt | Cover letter PDF: C:\Users\ashrestha\OneDrive - Alliant Insurance Services, Inc\Documents\Manish\final\cover_letters\cover_letter_20260612_1404.pdf | Cover letter MD: C:\Users\ashrestha\OneDrive - Alliant Insurance Services, Inc\Documents\Manish\final\cover_letters\cover_letter_20260612_1404.md</t>
  </si>
  <si>
    <t>https://www.dice.com/job-detail/c598e42d-409b-4001-b965-0489e3e50e6f</t>
  </si>
  <si>
    <t>C:\Users\ashrestha\OneDrive - Alliant Insurance Services, Inc\Documents\Manish\final\cover_letters\cover_letter_20260612_1404.pdf</t>
  </si>
  <si>
    <t>C:\Users\ashrestha\OneDrive - Alliant Insurance Services, Inc\Documents\Manish\final\cover_letters\cover_letter_20260612_1404.md</t>
  </si>
  <si>
    <t>C:\Users\ashrestha\OneDrive - Alliant Insurance Services, Inc\Documents\Manish\final\job_search\job_descriptions\job_description_apex_systems_embedded_systems_engineer_20260612_1404.txt</t>
  </si>
  <si>
    <t>LMK Recruiting Solutions</t>
  </si>
  <si>
    <t>Senior Embedded Systems &amp; Controls Engineer</t>
  </si>
  <si>
    <t>Job description: C:\Users\ashrestha\OneDrive - Alliant Insurance Services, Inc\Documents\Manish\final\job_search\job_descriptions\job_description_lmk_recruiting_solutions_senior_embedded_systems_controls_engineer_20260612_1409.txt | Cover letter PDF: C:\Users\ashrestha\OneDrive - Alliant Insurance Services, Inc\Documents\Manish\final\cover_letters\cover_letter_20260612_1409.pdf | Cover letter MD: C:\Users\ashrestha\OneDrive - Alliant Insurance Services, Inc\Documents\Manish\final\cover_letters\cover_letter_20260612_1409.md</t>
  </si>
  <si>
    <t>https://www.dice.com/job-detail/fe0aa07d-9048-461d-b45c-7ae67dc614c5</t>
  </si>
  <si>
    <t>C:\Users\ashrestha\OneDrive - Alliant Insurance Services, Inc\Documents\Manish\final\cover_letters\cover_letter_20260612_1409.pdf</t>
  </si>
  <si>
    <t>C:\Users\ashrestha\OneDrive - Alliant Insurance Services, Inc\Documents\Manish\final\cover_letters\cover_letter_20260612_1409.md</t>
  </si>
  <si>
    <t>C:\Users\ashrestha\OneDrive - Alliant Insurance Services, Inc\Documents\Manish\final\job_search\job_descriptions\job_description_lmk_recruiting_solutions_senior_embedded_systems_controls_engineer_20260612_1409.txt</t>
  </si>
  <si>
    <t>Vastika Inc.</t>
  </si>
  <si>
    <t>Principal Engineer, Software/Firmware</t>
  </si>
  <si>
    <t>Job description: C:\Users\ashrestha\OneDrive - Alliant Insurance Services, Inc\Documents\Manish\final\job_search\job_descriptions\job_description_vastika_inc_principal_engineer_softwarefirmware_20260612_1417.txt | Cover letter PDF: C:\Users\ashrestha\OneDrive - Alliant Insurance Services, Inc\Documents\Manish\final\cover_letters\cover_letter_20260612_1417.pdf | Cover letter MD: C:\Users\ashrestha\OneDrive - Alliant Insurance Services, Inc\Documents\Manish\final\cover_letters\cover_letter_20260612_1417.md</t>
  </si>
  <si>
    <t>https://www.dice.com/job-detail/fd58fe1b-cfcb-4317-82ad-139e085f6e65</t>
  </si>
  <si>
    <t>C:\Users\ashrestha\OneDrive - Alliant Insurance Services, Inc\Documents\Manish\final\cover_letters\cover_letter_20260612_1417.pdf</t>
  </si>
  <si>
    <t>C:\Users\ashrestha\OneDrive - Alliant Insurance Services, Inc\Documents\Manish\final\cover_letters\cover_letter_20260612_1417.md</t>
  </si>
  <si>
    <t>C:\Users\ashrestha\OneDrive - Alliant Insurance Services, Inc\Documents\Manish\final\job_search\job_descriptions\job_description_vastika_inc_principal_engineer_softwarefirmware_20260612_1417.txt</t>
  </si>
  <si>
    <t>Tekfortune Inc.</t>
  </si>
  <si>
    <t>Principal Embedded Software Engineer</t>
  </si>
  <si>
    <t>Austin, TX (Hybrid)</t>
  </si>
  <si>
    <t>Job description: C:\Users\ashrestha\OneDrive - Alliant Insurance Services, Inc\Documents\Manish\final\job_search\job_descriptions\job_description_tekfortune_inc_principal_embedded_software_engineer_20260612_1419.txt | Cover letter PDF: C:\Users\ashrestha\OneDrive - Alliant Insurance Services, Inc\Documents\Manish\final\cover_letters\cover_letter_20260612_1419.pdf | Cover letter MD: C:\Users\ashrestha\OneDrive - Alliant Insurance Services, Inc\Documents\Manish\final\cover_letters\cover_letter_20260612_1419.md</t>
  </si>
  <si>
    <t>https://www.dice.com/job-detail/ff4084b3-b2a1-416a-abb4-9ae0fc629923</t>
  </si>
  <si>
    <t>C:\Users\ashrestha\OneDrive - Alliant Insurance Services, Inc\Documents\Manish\final\cover_letters\cover_letter_20260612_1419.pdf</t>
  </si>
  <si>
    <t>C:\Users\ashrestha\OneDrive - Alliant Insurance Services, Inc\Documents\Manish\final\cover_letters\cover_letter_20260612_1419.md</t>
  </si>
  <si>
    <t>C:\Users\ashrestha\OneDrive - Alliant Insurance Services, Inc\Documents\Manish\final\job_search\job_descriptions\job_description_tekfortune_inc_principal_embedded_software_engineer_20260612_1419.txt</t>
  </si>
  <si>
    <t>Corporate Solutions General, Inc.</t>
  </si>
  <si>
    <t>Embedded Tester with strong automation experience</t>
  </si>
  <si>
    <t>Tucson, AZ (Onsite)</t>
  </si>
  <si>
    <t>Job description: C:\Users\ashrestha\OneDrive - Alliant Insurance Services, Inc\Documents\Manish\final\job_search\job_descriptions\job_description_corporate_solutions_general_inc_embedded_tester_with_strong_automation_experience_20260612_1539.txt | Cover letter PDF: C:\Users\ashrestha\OneDrive - Alliant Insurance Services, Inc\Documents\Manish\final\cover_letters\cover_letter_20260612_1539.pdf | Cover letter MD: C:\Users\ashrestha\OneDrive - Alliant Insurance Services, Inc\Documents\Manish\final\cover_letters\cover_letter_20260612_1539.md</t>
  </si>
  <si>
    <t>https://www.dice.com/job-detail/3e037a66-b767-4475-b391-5367ac5f8152</t>
  </si>
  <si>
    <t>C:\Users\ashrestha\OneDrive - Alliant Insurance Services, Inc\Documents\Manish\final\cover_letters\cover_letter_20260612_1539.pdf</t>
  </si>
  <si>
    <t>C:\Users\ashrestha\OneDrive - Alliant Insurance Services, Inc\Documents\Manish\final\cover_letters\cover_letter_20260612_1539.md</t>
  </si>
  <si>
    <t>C:\Users\ashrestha\OneDrive - Alliant Insurance Services, Inc\Documents\Manish\final\job_search\job_descriptions\job_description_corporate_solutions_general_inc_embedded_tester_with_strong_automation_experience_20260612_1539.txt</t>
  </si>
  <si>
    <t>Motion Recruitment Partners, LLC</t>
  </si>
  <si>
    <t>Embedded Engineer/C++/Onsite</t>
  </si>
  <si>
    <t>Job description: C:\Users\ashrestha\OneDrive - Alliant Insurance Services, Inc\Documents\Manish\final\job_search\job_descriptions\job_description_motion_recruitment_partners_llc_embedded_engineerconsite_20260612_1541.txt | Cover letter PDF: C:\Users\ashrestha\OneDrive - Alliant Insurance Services, Inc\Documents\Manish\final\cover_letters\cover_letter_20260612_1541.pdf | Cover letter MD: C:\Users\ashrestha\OneDrive - Alliant Insurance Services, Inc\Documents\Manish\final\cover_letters\cover_letter_20260612_1541.md</t>
  </si>
  <si>
    <t>https://www.dice.com/job-detail/e00f44a3-0b57-43d4-9482-56fe036cdf3e</t>
  </si>
  <si>
    <t>C:\Users\ashrestha\OneDrive - Alliant Insurance Services, Inc\Documents\Manish\final\cover_letters\cover_letter_20260612_1541.pdf</t>
  </si>
  <si>
    <t>C:\Users\ashrestha\OneDrive - Alliant Insurance Services, Inc\Documents\Manish\final\cover_letters\cover_letter_20260612_1541.md</t>
  </si>
  <si>
    <t>C:\Users\ashrestha\OneDrive - Alliant Insurance Services, Inc\Documents\Manish\final\job_search\job_descriptions\job_description_motion_recruitment_partners_llc_embedded_engineerconsite_20260612_1541.txt</t>
  </si>
  <si>
    <t>Embedded Firmware Engineer (Embedded Systems)</t>
  </si>
  <si>
    <t>Cupertino, CA (Onsite)</t>
  </si>
  <si>
    <t>Auto-skipped: invalid job link (Job page unavailable)</t>
  </si>
  <si>
    <t>https://www.dice.com/job-detail/62bd3671-0b25-4b98-90af-1ae86ff18511</t>
  </si>
  <si>
    <t>HireNetworks</t>
  </si>
  <si>
    <t>Firmware Engineering Manager</t>
  </si>
  <si>
    <t>Morrisville, NC (Hybrid)</t>
  </si>
  <si>
    <t>https://www.dice.com/job-detail/cf89cfa7-9670-4643-9c27-7ef78fb6bc8c</t>
  </si>
  <si>
    <t>Senior Embedded Firmware Engineer / C / RTOS / CAN &amp; USB Protocols / Irvine /</t>
  </si>
  <si>
    <t>https://www.dice.com/job-detail/592573bf-a3a3-4bf0-b17f-a398a22a8b53</t>
  </si>
  <si>
    <t>Job description: C:\Users\ashrestha\OneDrive - Alliant Insurance Services, Inc\Documents\Manish\final\job_search\job_descriptions\job_description_osi_engineering_inc_embedded_firmware_engineer_embedded_systems_20260612_1618.txt | Cover letter MD: C:\Users\ashrestha\OneDrive - Alliant Insurance Services, Inc\Documents\Manish\final\cover_letters\cover_letter_20260612_1618.md</t>
  </si>
  <si>
    <t>C:\Users\ashrestha\OneDrive - Alliant Insurance Services, Inc\Documents\Manish\final\cover_letters\cover_letter_20260612_1618.md</t>
  </si>
  <si>
    <t>C:\Users\ashrestha\OneDrive - Alliant Insurance Services, Inc\Documents\Manish\final\job_search\job_descriptions\job_description_osi_engineering_inc_embedded_firmware_engineer_embedded_systems_20260612_1618.txt</t>
  </si>
  <si>
    <t>Job description: C:\Users\ashrestha\OneDrive - Alliant Insurance Services, Inc\Documents\Manish\final\job_search\job_descriptions\job_description_sovereign_technologies_embedded_firmware_software_engineer_w2_20260612_1619.txt | Cover letter MD: C:\Users\ashrestha\OneDrive - Alliant Insurance Services, Inc\Documents\Manish\final\cover_letters\cover_letter_20260612_1619.md</t>
  </si>
  <si>
    <t>C:\Users\ashrestha\OneDrive - Alliant Insurance Services, Inc\Documents\Manish\final\cover_letters\cover_letter_20260612_1619.md</t>
  </si>
  <si>
    <t>C:\Users\ashrestha\OneDrive - Alliant Insurance Services, Inc\Documents\Manish\final\job_search\job_descriptions\job_description_sovereign_technologies_embedded_firmware_software_engineer_w2_20260612_1619.txt</t>
  </si>
  <si>
    <t>Job description: C:\Users\ashrestha\OneDrive - Alliant Insurance Services, Inc\Documents\Manish\final\job_search\job_descriptions\job_description_corporate_solutions_general_inc_embedded_tester_with_strong_automation_experience_20260612_1619.txt | Cover letter MD: C:\Users\ashrestha\OneDrive - Alliant Insurance Services, Inc\Documents\Manish\final\cover_letters\cover_letter_20260612_1619.md</t>
  </si>
  <si>
    <t>C:\Users\ashrestha\OneDrive - Alliant Insurance Services, Inc\Documents\Manish\final\job_search\job_descriptions\job_description_corporate_solutions_general_inc_embedded_tester_with_strong_automation_experience_20260612_1619.txt</t>
  </si>
  <si>
    <t>Job description: C:\Users\ashrestha\OneDrive - Alliant Insurance Services, Inc\Documents\Manish\final\job_search\job_descriptions\job_description_motion_recruitment_firmware_engineer_onsite_pa_20260612_1620.txt | Cover letter MD: C:\Users\ashrestha\OneDrive - Alliant Insurance Services, Inc\Documents\Manish\final\cover_letters\cover_letter_20260612_1620.md</t>
  </si>
  <si>
    <t>C:\Users\ashrestha\OneDrive - Alliant Insurance Services, Inc\Documents\Manish\final\cover_letters\cover_letter_20260612_1620.md</t>
  </si>
  <si>
    <t>C:\Users\ashrestha\OneDrive - Alliant Insurance Services, Inc\Documents\Manish\final\job_search\job_descriptions\job_description_motion_recruitment_firmware_engineer_onsite_pa_20260612_1620.txt</t>
  </si>
  <si>
    <t>Job description: C:\Users\ashrestha\OneDrive - Alliant Insurance Services, Inc\Documents\Manish\final\job_search\job_descriptions\job_description_hirenetworks_firmware_engineering_manager_20260612_1621.txt | Cover letter MD: C:\Users\ashrestha\OneDrive - Alliant Insurance Services, Inc\Documents\Manish\final\cover_letters\cover_letter_20260612_1621.md</t>
  </si>
  <si>
    <t>C:\Users\ashrestha\OneDrive - Alliant Insurance Services, Inc\Documents\Manish\final\cover_letters\cover_letter_20260612_1621.md</t>
  </si>
  <si>
    <t>C:\Users\ashrestha\OneDrive - Alliant Insurance Services, Inc\Documents\Manish\final\job_search\job_descriptions\job_description_hirenetworks_firmware_engineering_manager_20260612_1621.txt</t>
  </si>
  <si>
    <t>Job description: C:\Users\ashrestha\OneDrive - Alliant Insurance Services, Inc\Documents\Manish\final\job_search\job_descriptions\job_description_tanisha_systems_firmwareembedded_engineer_20260612_1625.txt | Cover letter MD: C:\Users\ashrestha\OneDrive - Alliant Insurance Services, Inc\Documents\Manish\final\cover_letters\cover_letter_20260612_1625.md</t>
  </si>
  <si>
    <t>C:\Users\ashrestha\OneDrive - Alliant Insurance Services, Inc\Documents\Manish\final\cover_letters\cover_letter_20260612_1625.md</t>
  </si>
  <si>
    <t>C:\Users\ashrestha\OneDrive - Alliant Insurance Services, Inc\Documents\Manish\final\job_search\job_descriptions\job_description_tanisha_systems_firmwareembedded_engineer_20260612_1625.txt</t>
  </si>
  <si>
    <t>Skip reason: user skipped | Job description: C:\Users\ashrestha\OneDrive - Alliant Insurance Services, Inc\Documents\Manish\final\job_search\job_descriptions\job_description_market_street_talent_principal_embedded_firmware_engineer_20260612_1626.txt | Cover letter MD: C:\Users\ashrestha\OneDrive - Alliant Insurance Services, Inc\Documents\Manish\final\cover_letters\cover_letter_20260612_1626.md</t>
  </si>
  <si>
    <t>C:\Users\ashrestha\OneDrive - Alliant Insurance Services, Inc\Documents\Manish\final\cover_letters\cover_letter_20260612_1626.md</t>
  </si>
  <si>
    <t>C:\Users\ashrestha\OneDrive - Alliant Insurance Services, Inc\Documents\Manish\final\job_search\job_descriptions\job_description_market_street_talent_principal_embedded_firmware_engineer_20260612_1626.txt</t>
  </si>
  <si>
    <t>Job description: C:\Users\ashrestha\OneDrive - Alliant Insurance Services, Inc\Documents\Manish\final\job_search\job_descriptions\job_description_motion_recruitment_senior_embedded_engineer_linux_iot_20260612_1630.txt | Cover letter MD: C:\Users\ashrestha\OneDrive - Alliant Insurance Services, Inc\Documents\Manish\final\cover_letters\cover_letter_20260612_1630.md</t>
  </si>
  <si>
    <t>C:\Users\ashrestha\OneDrive - Alliant Insurance Services, Inc\Documents\Manish\final\cover_letters\cover_letter_20260612_1630.md</t>
  </si>
  <si>
    <t>C:\Users\ashrestha\OneDrive - Alliant Insurance Services, Inc\Documents\Manish\final\job_search\job_descriptions\job_description_motion_recruitment_senior_embedded_engineer_linux_iot_20260612_1630.txt</t>
  </si>
  <si>
    <t>Job description: C:\Users\ashrestha\OneDrive - Alliant Insurance Services, Inc\Documents\Manish\final\job_search\job_descriptions\job_description_motion_recruitment_partners_llc_senior_embedded_firmware_engineer_c_rtos_can_usb_protocols_irvine_20260612_1630.txt | Cover letter MD: C:\Users\ashrestha\OneDrive - Alliant Insurance Services, Inc\Documents\Manish\final\cover_letters\cover_letter_20260612_1630.md</t>
  </si>
  <si>
    <t>C:\Users\ashrestha\OneDrive - Alliant Insurance Services, Inc\Documents\Manish\final\job_search\job_descriptions\job_description_motion_recruitment_partners_llc_senior_embedded_firmware_engineer_c_rtos_can_usb_protocols_irvine_20260612_1630.txt</t>
  </si>
  <si>
    <t>Job description: C:\Users\ashrestha\OneDrive - Alliant Insurance Services, Inc\Documents\Manish\final\job_search\job_descriptions\job_description_motion_recruitment_sr_embedded_systems_engineer_c_ble_20260612_1631.txt | Cover letter MD: C:\Users\ashrestha\OneDrive - Alliant Insurance Services, Inc\Documents\Manish\final\cover_letters\cover_letter_20260612_1631.md</t>
  </si>
  <si>
    <t>C:\Users\ashrestha\OneDrive - Alliant Insurance Services, Inc\Documents\Manish\final\cover_letters\cover_letter_20260612_1631.md</t>
  </si>
  <si>
    <t>C:\Users\ashrestha\OneDrive - Alliant Insurance Services, Inc\Documents\Manish\final\job_search\job_descriptions\job_description_motion_recruitment_sr_embedded_systems_engineer_c_ble_20260612_1631.txt</t>
  </si>
  <si>
    <t>Boston, Massachusetts</t>
  </si>
  <si>
    <t>Not a fit | Skip reason: bad fit | Job description: C:\Users\ashrestha\OneDrive - Alliant Insurance Services, Inc\Documents\Manish\final\job_search\job_descriptions\job_description_motion_recruitment_partners_llc_untitled_20260612_1648.txt | Cover letter MD: C:\Users\ashrestha\OneDrive - Alliant Insurance Services, Inc\Documents\Manish\final\cover_letters\cover_letter_20260612_1648.md</t>
  </si>
  <si>
    <t>https://www.dice.com/job-detail/e4f75feb-b72d-4106-ae8e-d0f1bf75aa79</t>
  </si>
  <si>
    <t>C:\Users\ashrestha\OneDrive - Alliant Insurance Services, Inc\Documents\Manish\final\cover_letters\cover_letter_20260612_1648.md</t>
  </si>
  <si>
    <t>C:\Users\ashrestha\OneDrive - Alliant Insurance Services, Inc\Documents\Manish\final\job_search\job_descriptions\job_description_motion_recruitment_partners_llc_untitled_20260612_1648.txt</t>
  </si>
  <si>
    <t>Arlington, Virginia</t>
  </si>
  <si>
    <t>Job description link: https://www.dice.com/job-detail/89ba4831-3db2-4a38-bf06-1816999ec1ea | Job description file: C:\Users\ashrestha\OneDrive - Alliant Insurance Services, Inc\Documents\Manish\final\job_search\job_descriptions\job_description_motion_recruitment_partners_llc_untitled_20260612_1654.txt | Cover letter MD: C:\Users\ashrestha\OneDrive - Alliant Insurance Services, Inc\Documents\Manish\final\cover_letters\cover_letter_20260612_1654.md</t>
  </si>
  <si>
    <t>https://www.dice.com/job-detail/89ba4831-3db2-4a38-bf06-1816999ec1ea</t>
  </si>
  <si>
    <t>C:\Users\ashrestha\OneDrive - Alliant Insurance Services, Inc\Documents\Manish\final\cover_letters\cover_letter_20260612_1654.md</t>
  </si>
  <si>
    <t>C:\Users\ashrestha\OneDrive - Alliant Insurance Services, Inc\Documents\Manish\final\job_search\job_descriptions\job_description_motion_recruitment_partners_llc_untitled_20260612_1654.txt</t>
  </si>
  <si>
    <t>JDA TSG</t>
  </si>
  <si>
    <t>Remote</t>
  </si>
  <si>
    <t>Skip reason: bad fit | Job description link: https://www.dice.com/job-detail/5c485c7b-5fef-4394-abaf-3cc60d3896c3 | Job description file: C:\Users\ashrestha\OneDrive - Alliant Insurance Services, Inc\Documents\Manish\final\job_search\job_descriptions\job_description_jda_tsg_untitled_20260612_1657.txt | Cover letter MD: C:\Users\ashrestha\OneDrive - Alliant Insurance Services, Inc\Documents\Manish\final\cover_letters\cover_letter_20260612_1657.md</t>
  </si>
  <si>
    <t>https://www.dice.com/job-detail/5c485c7b-5fef-4394-abaf-3cc60d3896c3</t>
  </si>
  <si>
    <t>C:\Users\ashrestha\OneDrive - Alliant Insurance Services, Inc\Documents\Manish\final\cover_letters\cover_letter_20260612_1657.md</t>
  </si>
  <si>
    <t>C:\Users\ashrestha\OneDrive - Alliant Insurance Services, Inc\Documents\Manish\final\job_search\job_descriptions\job_description_jda_tsg_untitled_20260612_1657.txt</t>
  </si>
  <si>
    <t>Tellus Solutions</t>
  </si>
  <si>
    <t>Jacksonville, Florida</t>
  </si>
  <si>
    <t>Skip reason: unspecified | Job description link: https://www.dice.com/job-detail/eb03fca2-9612-436d-b79e-74cb55529a82 | Job description file: C:\Users\ashrestha\OneDrive - Alliant Insurance Services, Inc\Documents\Manish\final\job_search\job_descriptions\job_description_tellus_solutions_untitled_20260612_1659.txt | Cover letter MD: C:\Users\ashrestha\OneDrive - Alliant Insurance Services, Inc\Documents\Manish\final\cover_letters\cover_letter_20260612_1659.md</t>
  </si>
  <si>
    <t>https://www.dice.com/job-detail/eb03fca2-9612-436d-b79e-74cb55529a82</t>
  </si>
  <si>
    <t>C:\Users\ashrestha\OneDrive - Alliant Insurance Services, Inc\Documents\Manish\final\cover_letters\cover_letter_20260612_1659.md</t>
  </si>
  <si>
    <t>C:\Users\ashrestha\OneDrive - Alliant Insurance Services, Inc\Documents\Manish\final\job_search\job_descriptions\job_description_tellus_solutions_untitled_20260612_1659.txt</t>
  </si>
  <si>
    <t>Beverly, Massachusetts</t>
  </si>
  <si>
    <t>Job description link: https://www.dice.com/job-detail/35b09137-9142-4b7c-8980-3d48fcf58b13 | Job description file: C:\Users\ashrestha\OneDrive - Alliant Insurance Services, Inc\Documents\Manish\final\job_search\job_descriptions\job_description_motion_recruitment_partners_llc_untitled_20260612_1700.txt | Cover letter MD: C:\Users\ashrestha\OneDrive - Alliant Insurance Services, Inc\Documents\Manish\final\cover_letters\cover_letter_20260612_1700.md</t>
  </si>
  <si>
    <t>https://www.dice.com/job-detail/35b09137-9142-4b7c-8980-3d48fcf58b13</t>
  </si>
  <si>
    <t>C:\Users\ashrestha\OneDrive - Alliant Insurance Services, Inc\Documents\Manish\final\cover_letters\cover_letter_20260612_1700.md</t>
  </si>
  <si>
    <t>C:\Users\ashrestha\OneDrive - Alliant Insurance Services, Inc\Documents\Manish\final\job_search\job_descriptions\job_description_motion_recruitment_partners_llc_untitled_20260612_1700.txt</t>
  </si>
  <si>
    <t>Rishabh Software Pvt. Ltd</t>
  </si>
  <si>
    <t>No location provided</t>
  </si>
  <si>
    <t>Job description link: https://www.dice.com/job-detail/4d38b203-2399-44a6-8058-aa428bd49094 | Job description file: C:\Users\ashrestha\OneDrive - Alliant Insurance Services, Inc\Documents\Manish\final\job_search\job_descriptions\job_description_rishabh_software_pvt_ltd_untitled_20260612_1701.txt | Cover letter MD: C:\Users\ashrestha\OneDrive - Alliant Insurance Services, Inc\Documents\Manish\final\cover_letters\cover_letter_20260612_1701.md</t>
  </si>
  <si>
    <t>https://www.dice.com/job-detail/4d38b203-2399-44a6-8058-aa428bd49094</t>
  </si>
  <si>
    <t>C:\Users\ashrestha\OneDrive - Alliant Insurance Services, Inc\Documents\Manish\final\cover_letters\cover_letter_20260612_1701.md</t>
  </si>
  <si>
    <t>C:\Users\ashrestha\OneDrive - Alliant Insurance Services, Inc\Documents\Manish\final\job_search\job_descriptions\job_description_rishabh_software_pvt_ltd_untitled_20260612_1701.txt</t>
  </si>
  <si>
    <t>ACI Infotech</t>
  </si>
  <si>
    <t>Atlanta, Georgia</t>
  </si>
  <si>
    <t>not a site reliability engineer | Skip reason: bad fit | Job description link: https://www.dice.com/job-detail/9f0f13da-f564-43b5-84bb-ea112d50186e | Job description file: C:\Users\ashrestha\OneDrive - Alliant Insurance Services, Inc\Documents\Manish\final\job_search\job_descriptions\job_description_aci_infotech_untitled_20260612_1702.txt | Cover letter MD: C:\Users\ashrestha\OneDrive - Alliant Insurance Services, Inc\Documents\Manish\final\cover_letters\cover_letter_20260612_1702.md</t>
  </si>
  <si>
    <t>https://www.dice.com/job-detail/9f0f13da-f564-43b5-84bb-ea112d50186e</t>
  </si>
  <si>
    <t>C:\Users\ashrestha\OneDrive - Alliant Insurance Services, Inc\Documents\Manish\final\cover_letters\cover_letter_20260612_1702.md</t>
  </si>
  <si>
    <t>C:\Users\ashrestha\OneDrive - Alliant Insurance Services, Inc\Documents\Manish\final\job_search\job_descriptions\job_description_aci_infotech_untitled_20260612_1702.txt</t>
  </si>
  <si>
    <t>Allwyn Corporation</t>
  </si>
  <si>
    <t>bad fit | Skip reason: bat fit | Job description link: https://www.dice.com/job-detail/444c5091-2d4b-404b-80fb-4bc14a17c202 | Job description file: C:\Users\ashrestha\OneDrive - Alliant Insurance Services, Inc\Documents\Manish\final\job_search\job_descriptions\job_description_allwyn_corporation_untitled_20260612_1703.txt | Cover letter MD: C:\Users\ashrestha\OneDrive - Alliant Insurance Services, Inc\Documents\Manish\final\cover_letters\cover_letter_20260612_1703.md</t>
  </si>
  <si>
    <t>https://www.dice.com/job-detail/444c5091-2d4b-404b-80fb-4bc14a17c202</t>
  </si>
  <si>
    <t>C:\Users\ashrestha\OneDrive - Alliant Insurance Services, Inc\Documents\Manish\final\cover_letters\cover_letter_20260612_1703.md</t>
  </si>
  <si>
    <t>C:\Users\ashrestha\OneDrive - Alliant Insurance Services, Inc\Documents\Manish\final\job_search\job_descriptions\job_description_allwyn_corporation_untitled_20260612_1703.txt</t>
  </si>
  <si>
    <t>Hybrid in Palo Alto, California</t>
  </si>
  <si>
    <t>salary 160000 | Job description link: https://www.dice.com/job-detail/7383f7c5-18d5-4795-a100-162b9d0f18b5 | Job description file: C:\Users\ashrestha\OneDrive - Alliant Insurance Services, Inc\Documents\Manish\final\job_search\job_descriptions\job_description_osi_engineering_inc_untitled_20260612_1704.txt | Cover letter MD: C:\Users\ashrestha\OneDrive - Alliant Insurance Services, Inc\Documents\Manish\final\cover_letters\cover_letter_20260612_1704.md</t>
  </si>
  <si>
    <t>https://www.dice.com/job-detail/7383f7c5-18d5-4795-a100-162b9d0f18b5</t>
  </si>
  <si>
    <t>C:\Users\ashrestha\OneDrive - Alliant Insurance Services, Inc\Documents\Manish\final\cover_letters\cover_letter_20260612_1704.md</t>
  </si>
  <si>
    <t>C:\Users\ashrestha\OneDrive - Alliant Insurance Services, Inc\Documents\Manish\final\job_search\job_descriptions\job_description_osi_engineering_inc_untitled_20260612_1704.txt</t>
  </si>
  <si>
    <t>Apetan Consulting</t>
  </si>
  <si>
    <t>not lonux engineer | Skip reason: not linux engineer | Job description link: https://www.dice.com/job-detail/f6187b7f-18a7-450d-9d7d-2be86f9c3682 | Job description file: C:\Users\ashrestha\OneDrive - Alliant Insurance Services, Inc\Documents\Manish\final\job_search\job_descriptions\job_description_apetan_consulting_untitled_20260612_1706.txt | Cover letter MD: C:\Users\ashrestha\OneDrive - Alliant Insurance Services, Inc\Documents\Manish\final\cover_letters\cover_letter_20260612_1706.md</t>
  </si>
  <si>
    <t>https://www.dice.com/job-detail/f6187b7f-18a7-450d-9d7d-2be86f9c3682</t>
  </si>
  <si>
    <t>C:\Users\ashrestha\OneDrive - Alliant Insurance Services, Inc\Documents\Manish\final\cover_letters\cover_letter_20260612_1706.md</t>
  </si>
  <si>
    <t>C:\Users\ashrestha\OneDrive - Alliant Insurance Services, Inc\Documents\Manish\final\job_search\job_descriptions\job_description_apetan_consulting_untitled_20260612_1706.txt</t>
  </si>
  <si>
    <t>Ziply Fiber</t>
  </si>
  <si>
    <t>not related | Skip reason: bad fit | Job description link: https://www.dice.com/job-detail/a3a5aa43-0309-4a6e-888b-dd62b4ac0e41 | Job description file: C:\Users\ashrestha\OneDrive - Alliant Insurance Services, Inc\Documents\Manish\final\job_search\job_descriptions\job_description_ziply_fiber_untitled_20260612_1707.txt | Cover letter MD: C:\Users\ashrestha\OneDrive - Alliant Insurance Services, Inc\Documents\Manish\final\cover_letters\cover_letter_20260612_1707.md</t>
  </si>
  <si>
    <t>https://www.dice.com/job-detail/a3a5aa43-0309-4a6e-888b-dd62b4ac0e41</t>
  </si>
  <si>
    <t>C:\Users\ashrestha\OneDrive - Alliant Insurance Services, Inc\Documents\Manish\final\cover_letters\cover_letter_20260612_1707.md</t>
  </si>
  <si>
    <t>C:\Users\ashrestha\OneDrive - Alliant Insurance Services, Inc\Documents\Manish\final\job_search\job_descriptions\job_description_ziply_fiber_untitled_20260612_1707.txt</t>
  </si>
  <si>
    <t>Krostech Solutions, LLC</t>
  </si>
  <si>
    <t>Hybrid in San Francisco, California</t>
  </si>
  <si>
    <t>not related | Skip reason: not related | Job description link: https://www.dice.com/job-detail/2032f5bd-27f2-41b8-9533-86fd5ef21a4b | Job description file: C:\Users\ashrestha\OneDrive - Alliant Insurance Services, Inc\Documents\Manish\final\job_search\job_descriptions\job_description_krostech_solutions_llc_untitled_20260612_1708.txt | Cover letter MD: C:\Users\ashrestha\OneDrive - Alliant Insurance Services, Inc\Documents\Manish\final\cover_letters\cover_letter_20260612_1708.md</t>
  </si>
  <si>
    <t>https://www.dice.com/job-detail/2032f5bd-27f2-41b8-9533-86fd5ef21a4b</t>
  </si>
  <si>
    <t>C:\Users\ashrestha\OneDrive - Alliant Insurance Services, Inc\Documents\Manish\final\cover_letters\cover_letter_20260612_1708.md</t>
  </si>
  <si>
    <t>C:\Users\ashrestha\OneDrive - Alliant Insurance Services, Inc\Documents\Manish\final\job_search\job_descriptions\job_description_krostech_solutions_llc_untitled_20260612_1708.txt</t>
  </si>
  <si>
    <t>Fremont, California</t>
  </si>
  <si>
    <t>Job description link: https://www.dice.com/job-detail/4e87f03a-8dfb-42aa-83e6-924db650b642 | Job description file: C:\Users\ashrestha\OneDrive - Alliant Insurance Services, Inc\Documents\Manish\final\job_search\job_descriptions\job_description_apetan_consulting_untitled_20260612_1708.txt | Cover letter MD: C:\Users\ashrestha\OneDrive - Alliant Insurance Services, Inc\Documents\Manish\final\cover_letters\cover_letter_20260612_1708.md</t>
  </si>
  <si>
    <t>https://www.dice.com/job-detail/4e87f03a-8dfb-42aa-83e6-924db650b642</t>
  </si>
  <si>
    <t>C:\Users\ashrestha\OneDrive - Alliant Insurance Services, Inc\Documents\Manish\final\job_search\job_descriptions\job_description_apetan_consulting_untitled_20260612_1708.txt</t>
  </si>
  <si>
    <t>Saicon Consultants Inc.</t>
  </si>
  <si>
    <t>Embedded/Firmware Engineer</t>
  </si>
  <si>
    <t>Job description link: https://www.dice.com/job-detail/2da89f01-084a-4f6f-8625-c7a7948a296a (Dice posting URL) | Job description file: C:\Users\ashrestha\OneDrive - Alliant Insurance Services, Inc\Documents\Manish\final\job_search\job_descriptions\job_description_saicon_consultants_inc_embeddedfirmware_engineer_20260612_2207.txt | Cover letter MD: C:\Users\ashrestha\OneDrive - Alliant Insurance Services, Inc\Documents\Manish\final\cover_letters\cover_letter_20260612_2207.md</t>
  </si>
  <si>
    <t>https://www.dice.com/job-detail/2da89f01-084a-4f6f-8625-c7a7948a296a</t>
  </si>
  <si>
    <t>C:\Users\ashrestha\OneDrive - Alliant Insurance Services, Inc\Documents\Manish\final\cover_letters\cover_letter_20260612_2207.md</t>
  </si>
  <si>
    <t>C:\Users\ashrestha\OneDrive - Alliant Insurance Services, Inc\Documents\Manish\final\job_search\job_descriptions\job_description_saicon_consultants_inc_embeddedfirmware_engineer_20260612_2207.txt</t>
  </si>
  <si>
    <t>skip | Job description link: https://www.dice.com/job-detail/2da89f01-084a-4f6f-8625-c7a7948a296a (Dice posting URL) | Job description file: C:\Users\ashrestha\OneDrive - Alliant Insurance Services, Inc\Documents\Manish\final\job_search\job_descriptions\job_description_saicon_consultants_inc_embeddedfirmware_engineer_20260612_2213.txt | Cover letter MD: (cover letter not generated)</t>
  </si>
  <si>
    <t>C:\Users\ashrestha\OneDrive - Alliant Insurance Services, Inc\Documents\Manish\final\job_search\job_descriptions\job_description_saicon_consultants_inc_embeddedfirmware_engineer_20260612_2213.txt</t>
  </si>
  <si>
    <t>S3 Staffing USA</t>
  </si>
  <si>
    <t>Philadelphia, Pennsylvania</t>
  </si>
  <si>
    <t>Skip reason: unspecified | Job description link: https://www.dice.com/job-detail/7d14881b-af24-49e0-816d-952b3c361cf3 (Dice posting URL) | Job description file: (not retained - decision Skipped) | Cover letter MD: (not retained - decision Skipped)</t>
  </si>
  <si>
    <t>https://www.dice.com/job-detail/7d14881b-af24-49e0-816d-952b3c361cf3</t>
  </si>
  <si>
    <t>Washington, District of Columbia</t>
  </si>
  <si>
    <t>security clearance needed | Skip reason: unspecified | Job description link: https://www.dice.com/job-detail/c1885940-7953-4e6e-908b-2558fc8d66a8 (Dice posting URL) | Job description file: (not retained - decision Skipped) | Cover letter MD: (not retained - decision Skipped)</t>
  </si>
  <si>
    <t>https://www.dice.com/job-detail/c1885940-7953-4e6e-908b-2558fc8d66a8</t>
  </si>
  <si>
    <t>Skip reason: unspecified | Job description link: https://www.dice.com/job-detail/2da89f01-084a-4f6f-8625-c7a7948a296a (Dice posting URL) | Job description file: (not retained - decision Skipped) | Cover letter MD: (not retained - decision Skipped)</t>
  </si>
  <si>
    <t>security clerance needed | Skip reason: unspecified | Job description link: https://www.dice.com/job-detail/c1885940-7953-4e6e-908b-2558fc8d66a8 (Dice posting URL) | Job description file: (not retained - decision Skipped) | Cover letter MD: (not retained - decision Skipped)</t>
  </si>
  <si>
    <t>Job description link: https://www.dice.com/job-detail/2da89f01-084a-4f6f-8625-c7a7948a296a (Dice posting URL) | Job description file: C:\Users\ashrestha\OneDrive - Alliant Insurance Services, Inc\Documents\Manish\final\job_search\job_descriptions\job_description_saicon_consultants_inc_embeddedfirmware_engineer_20260612_2233.txt | Cover letter MD: (cover letter not generated)</t>
  </si>
  <si>
    <t>C:\Users\ashrestha\OneDrive - Alliant Insurance Services, Inc\Documents\Manish\final\job_search\job_descriptions\job_description_saicon_consultants_inc_embeddedfirmware_engineer_20260612_2233.txt</t>
  </si>
  <si>
    <t>s | Job description link: https://www.dice.com/job-detail/2da89f01-084a-4f6f-8625-c7a7948a296a (Dice posting URL) | Job description file: C:\Users\ashrestha\OneDrive - Alliant Insurance Services, Inc\Documents\Manish\final\job_search\job_descriptions\job_description_saicon_consultants_inc_embeddedfirmware_engineer_20260612_2235.txt | Cover letter MD: (cover letter not generated)</t>
  </si>
  <si>
    <t>C:\Users\ashrestha\OneDrive - Alliant Insurance Services, Inc\Documents\Manish\final\job_search\job_descriptions\job_description_saicon_consultants_inc_embeddedfirmware_engineer_20260612_2235.txt</t>
  </si>
  <si>
    <t>security clerance needed | Skip reason: unspecified | Job description link: https://www.dice.com/job-detail/2da89f01-084a-4f6f-8625-c7a7948a296a (Dice posting URL) | Job description file: (not retained - decision Skipped) | Cover letter MD: (not retained - decision Skipped)</t>
  </si>
  <si>
    <t>ethernet needed | Skip reason: unspecified | Job description link: https://www.dice.com/job-detail/7d14881b-af24-49e0-816d-952b3c361cf3 (Dice posting URL) | Job description file: (not retained - decision Skipped) | Cover letter MD: (not retained - decision Skipped)</t>
  </si>
  <si>
    <t>security clerance | Skip reason: unspecified | Job description link: https://www.dice.com/job-detail/c1885940-7953-4e6e-908b-2558fc8d66a8 (Dice posting URL) | Job description file: (not retained - decision Skipped) | Cover letter MD: (not retained - decision Skipped)</t>
  </si>
  <si>
    <t>Spar Information Systems</t>
  </si>
  <si>
    <t>Arkansas</t>
  </si>
  <si>
    <t>Skip reason: unspecified | Job description link: https://www.dice.com/job-detail/984f68aa-7d8b-4b46-b2bf-ec1d9c4ba793 (Dice posting URL) | Job description file: (not retained - decision Skipped) | Cover letter MD: (not retained - decision Skipped)</t>
  </si>
  <si>
    <t>https://www.dice.com/job-detail/984f68aa-7d8b-4b46-b2bf-ec1d9c4ba793</t>
  </si>
  <si>
    <t>Virtual Networx</t>
  </si>
  <si>
    <t>Job description link: https://www.dice.com/job-detail/aafdba0b-4cdc-4ef2-a411-042ef9c803d3 (Dice posting URL) | Job description file: C:\Users\ashrestha\OneDrive - Alliant Insurance Services, Inc\Documents\Manish\final\job_search\job_descriptions\job_description_virtual_networx_embeddedfirmware_engineer_20260612_2317.txt | Cover letter MD: (cover letter not generated)</t>
  </si>
  <si>
    <t>https://www.dice.com/job-detail/aafdba0b-4cdc-4ef2-a411-042ef9c803d3</t>
  </si>
  <si>
    <t>C:\Users\ashrestha\OneDrive - Alliant Insurance Services, Inc\Documents\Manish\final\job_search\job_descriptions\job_description_virtual_networx_embeddedfirmware_engineer_20260612_2317.txt</t>
  </si>
  <si>
    <t>Irvine, California</t>
  </si>
  <si>
    <t>Skip reason: unspecified | Job description link: https://www.dice.com/job-detail/09f6f65b-086c-46ef-a517-d043d6c9a8be (Dice posting URL) | Job description file: (not retained - decision Skipped) | Cover letter MD: (not retained - decision Skipped)</t>
  </si>
  <si>
    <t>https://www.dice.com/job-detail/09f6f65b-086c-46ef-a517-d043d6c9a8be</t>
  </si>
  <si>
    <t>Resync applied status after flush fix</t>
  </si>
  <si>
    <t>security clearance | Skip reason: unspecified | Job description link: https://www.dice.com/job-detail/c1885940-7953-4e6e-908b-2558fc8d66a8 (Dice posting URL) | Job description file: (not retained - decision Skipped) | Cover letter MD: (not retained - decision Skipped)</t>
  </si>
  <si>
    <t>Job description link: https://www.dice.com/job-detail/984f68aa-7d8b-4b46-b2bf-ec1d9c4ba793 (Dice posting URL) | Job description file: C:\Users\ashrestha\OneDrive - Alliant Insurance Services, Inc\Documents\Manish\final\job_search\job_descriptions\job_description_spar_information_systems_embeddedfirmware_engineer_20260612_2331.txt | Cover letter MD: C:\Users\ashrestha\OneDrive - Alliant Insurance Services, Inc\Documents\Manish\final\cover_letters\cover_letter_ai_20260612_2332.md</t>
  </si>
  <si>
    <t>C:\Users\ashrestha\OneDrive - Alliant Insurance Services, Inc\Documents\Manish\final\cover_letters\cover_letter_ai_20260612_2332.md</t>
  </si>
  <si>
    <t>C:\Users\ashrestha\OneDrive - Alliant Insurance Services, Inc\Documents\Manish\final\job_search\job_descriptions\job_description_spar_information_systems_embeddedfirmware_engineer_20260612_2331.txt</t>
  </si>
  <si>
    <t>San Francisco, California</t>
  </si>
  <si>
    <t>citizenship | Skip reason: unspecified | Job description link: https://www.dice.com/job-detail/768c95f4-c29d-4dad-8818-cb76e674e20a (Dice posting URL) | Job description file: (not retained - decision Skipped) | Cover letter MD: (not retained - decision Skipped)</t>
  </si>
  <si>
    <t>https://www.dice.com/job-detail/768c95f4-c29d-4dad-8818-cb76e674e20a</t>
  </si>
  <si>
    <t>Job description link: https://www.dice.com/job-detail/7bf462f1-e80e-4cdf-a7a7-1774a76c011f (Dice posting URL) | Job description file: C:\Users\ashrestha\OneDrive - Alliant Insurance Services, Inc\Documents\Manish\final\job_search\job_descriptions\job_description_motion_recruitment_partners_llc_embeddedfirmware_engineer_20260612_2336.txt | Cover letter MD: C:\Users\ashrestha\OneDrive - Alliant Insurance Services, Inc\Documents\Manish\final\cover_letters\cover_letter_ai_20260612_2337.md</t>
  </si>
  <si>
    <t>https://www.dice.com/job-detail/7bf462f1-e80e-4cdf-a7a7-1774a76c011f</t>
  </si>
  <si>
    <t>C:\Users\ashrestha\OneDrive - Alliant Insurance Services, Inc\Documents\Manish\final\cover_letters\cover_letter_ai_20260612_2337.md</t>
  </si>
  <si>
    <t>C:\Users\ashrestha\OneDrive - Alliant Insurance Services, Inc\Documents\Manish\final\job_search\job_descriptions\job_description_motion_recruitment_partners_llc_embeddedfirmware_engineer_20260612_2336.txt</t>
  </si>
  <si>
    <t>Columbus, Indiana</t>
  </si>
  <si>
    <t>Job description link: https://www.dice.com/job-detail/cb4af3c6-43c7-49dc-9d90-7c84b71a375c (Dice posting URL) | Job description file: C:\Users\ashrestha\OneDrive - Alliant Insurance Services, Inc\Documents\Manish\final\job_search\job_descriptions\job_description_toyota_material_handling_north_america_embeddedfirmware_engineer_20260612_2339.txt | Cover letter MD: C:\Users\ashrestha\OneDrive - Alliant Insurance Services, Inc\Documents\Manish\final\cover_letters\cover_letter_ai_20260612_2340.md</t>
  </si>
  <si>
    <t>https://www.dice.com/job-detail/cb4af3c6-43c7-49dc-9d90-7c84b71a375c</t>
  </si>
  <si>
    <t>C:\Users\ashrestha\OneDrive - Alliant Insurance Services, Inc\Documents\Manish\final\cover_letters\cover_letter_ai_20260612_2340.md</t>
  </si>
  <si>
    <t>C:\Users\ashrestha\OneDrive - Alliant Insurance Services, Inc\Documents\Manish\final\job_search\job_descriptions\job_description_toyota_material_handling_north_america_embeddedfirmware_engineer_20260612_2339.txt</t>
  </si>
  <si>
    <t>Belcan, LLC</t>
  </si>
  <si>
    <t>Cincinnati, Ohio</t>
  </si>
  <si>
    <t>Skip reason: unspecified | Job description link: https://www.dice.com/job-detail/d1a2f70b-bcc9-4762-9cb7-5b9457eaaa6e (Dice posting URL) | Job description file: (not retained - decision Skipped) | Cover letter MD: (not retained - decision Skipped)</t>
  </si>
  <si>
    <t>https://www.dice.com/job-detail/d1a2f70b-bcc9-4762-9cb7-5b9457eaaa6e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</si>
</sst>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2"/>
      <color theme="10"/>
      <name val="Calibri"/>
      <family val="2"/>
      <scheme val="minor"/>
    </font>
    <font>
      <sz val="10"/>
      <name val="Arial"/>
    </font>
    <font>
      <b/>
      <sz val="14"/>
      <color rgb="FF12333B"/>
      <name val="Arial"/>
    </font>
    <font>
      <b/>
      <sz val="11"/>
      <name val="Arial"/>
    </font>
    <font>
      <sz val="11"/>
      <name val="Arial"/>
    </font>
    <font>
      <b/>
      <sz val="16"/>
      <color rgb="FF12333B"/>
      <name val="Arial"/>
    </font>
    <font>
      <b/>
      <sz val="11"/>
      <color rgb="FF1F6F7A"/>
      <name val="Arial"/>
    </font>
    <font>
      <sz val="9"/>
      <color rgb="FF5A6B70"/>
      <name val="Arial"/>
    </font>
    <font>
      <sz val="11"/>
      <name val="Arial"/>
    </font>
    <font>
      <b/>
      <sz val="11"/>
      <color rgb="FF12333B"/>
      <name val="Arial"/>
    </font>
  </fonts>
  <fills count="5">
    <fill>
      <patternFill patternType="none"/>
    </fill>
    <fill>
      <patternFill patternType="gray125"/>
    </fill>
    <fill>
      <patternFill patternType="solid">
        <fgColor rgb="FF1F6F7A"/>
      </patternFill>
    </fill>
    <fill>
      <patternFill patternType="solid">
        <fgColor rgb="FFF4F9F9"/>
      </patternFill>
    </fill>
    <fill>
      <patternFill patternType="solid">
        <fgColor rgb="FFE6F0F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3" borderId="1" xfId="1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2" fillId="0" borderId="0" xfId="1"/>
    <xf numFmtId="14" fontId="3" fillId="3" borderId="1" xfId="0" applyNumberFormat="1" applyFont="1" applyFill="1" applyBorder="1" applyAlignment="1">
      <alignment vertical="top" wrapText="1"/>
    </xf>
    <xf numFmtId="14" fontId="3" fillId="0" borderId="1" xfId="0" applyNumberFormat="1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ce.com/job-detail/a752d86a-1271-45d6-aba5-176ced9ea427" TargetMode="External"/><Relationship Id="rId3" Type="http://schemas.openxmlformats.org/officeDocument/2006/relationships/hyperlink" Target="https://jobot.com/details/electronics-test-engineer/316504604" TargetMode="External"/><Relationship Id="rId7" Type="http://schemas.openxmlformats.org/officeDocument/2006/relationships/hyperlink" Target="cover_letters/cover_letter_sr_firmware_mahwah.pdf" TargetMode="External"/><Relationship Id="rId2" Type="http://schemas.openxmlformats.org/officeDocument/2006/relationships/hyperlink" Target="https://johndeere.eightfold.ai/careers/apply?pid=137480957826" TargetMode="External"/><Relationship Id="rId1" Type="http://schemas.openxmlformats.org/officeDocument/2006/relationships/hyperlink" Target="cover_letters/cover_letter_john_deere_displays.docx" TargetMode="External"/><Relationship Id="rId6" Type="http://schemas.openxmlformats.org/officeDocument/2006/relationships/hyperlink" Target="https://www.dice.com/job-detail/39942482-5f01-4d10-a29a-be0c3e265d52" TargetMode="External"/><Relationship Id="rId5" Type="http://schemas.openxmlformats.org/officeDocument/2006/relationships/hyperlink" Target="cover_letters/cover_letter_sr_embedded_lakeforest.pdf" TargetMode="External"/><Relationship Id="rId4" Type="http://schemas.openxmlformats.org/officeDocument/2006/relationships/hyperlink" Target="https://www.dice.com/job-detail/99c8a1e5-ca50-476e-9621-6f04648ff536" TargetMode="External"/><Relationship Id="rId9" Type="http://schemas.openxmlformats.org/officeDocument/2006/relationships/hyperlink" Target="https://www.dice.com/job-detail/f0845a7e-f43b-4cbf-afd6-7212a02d001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13" customWidth="1"/>
    <col min="3" max="3" width="15" customWidth="1"/>
    <col min="4" max="4" width="32" customWidth="1"/>
    <col min="5" max="5" width="12" customWidth="1"/>
    <col min="6" max="6" width="16" customWidth="1"/>
    <col min="7" max="7" width="11" customWidth="1"/>
    <col min="8" max="8" width="14" customWidth="1"/>
    <col min="9" max="9" width="16" customWidth="1"/>
    <col min="10" max="10" width="34" customWidth="1"/>
    <col min="11" max="11" width="46" customWidth="1"/>
    <col min="12" max="12" width="22" customWidth="1"/>
    <col min="13" max="13" width="13" customWidth="1"/>
    <col min="14" max="14" width="40" customWidth="1"/>
  </cols>
  <sheetData>
    <row r="1" spans="1:1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2.8" customHeight="1" x14ac:dyDescent="0.3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15" t="s">
        <v>22</v>
      </c>
      <c r="K2" s="3" t="s">
        <v>23</v>
      </c>
      <c r="L2" s="2"/>
      <c r="M2" s="2" t="s">
        <v>24</v>
      </c>
      <c r="N2" s="2" t="s">
        <v>25</v>
      </c>
    </row>
    <row r="3" spans="1:14" ht="92.4" customHeight="1" x14ac:dyDescent="0.3">
      <c r="A3" s="4">
        <v>2</v>
      </c>
      <c r="B3" s="4" t="s">
        <v>14</v>
      </c>
      <c r="C3" s="4" t="s">
        <v>26</v>
      </c>
      <c r="D3" s="4" t="s">
        <v>27</v>
      </c>
      <c r="E3" s="4"/>
      <c r="F3" s="4" t="s">
        <v>28</v>
      </c>
      <c r="G3" s="4" t="s">
        <v>19</v>
      </c>
      <c r="H3" s="4" t="s">
        <v>20</v>
      </c>
      <c r="I3" s="4" t="s">
        <v>21</v>
      </c>
      <c r="J3" s="4"/>
      <c r="K3" s="4"/>
      <c r="L3" s="4"/>
      <c r="M3" s="4" t="s">
        <v>24</v>
      </c>
      <c r="N3" s="4" t="s">
        <v>29</v>
      </c>
    </row>
    <row r="4" spans="1:14" ht="92.4" x14ac:dyDescent="0.3">
      <c r="A4" s="2">
        <v>3</v>
      </c>
      <c r="B4" s="2" t="s">
        <v>14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19</v>
      </c>
      <c r="H4" s="2" t="s">
        <v>20</v>
      </c>
      <c r="I4" s="2" t="s">
        <v>21</v>
      </c>
      <c r="J4" s="2"/>
      <c r="K4" s="15" t="s">
        <v>34</v>
      </c>
      <c r="L4" s="2" t="s">
        <v>35</v>
      </c>
      <c r="M4" s="2" t="s">
        <v>24</v>
      </c>
      <c r="N4" s="2" t="s">
        <v>36</v>
      </c>
    </row>
    <row r="5" spans="1:14" ht="118.8" x14ac:dyDescent="0.3">
      <c r="A5" s="4">
        <v>4</v>
      </c>
      <c r="B5" s="4" t="s">
        <v>14</v>
      </c>
      <c r="C5" s="4" t="s">
        <v>37</v>
      </c>
      <c r="D5" s="4" t="s">
        <v>38</v>
      </c>
      <c r="E5" s="4"/>
      <c r="F5" s="4" t="s">
        <v>39</v>
      </c>
      <c r="G5" s="4" t="s">
        <v>19</v>
      </c>
      <c r="H5" s="4" t="s">
        <v>20</v>
      </c>
      <c r="I5" s="4" t="s">
        <v>21</v>
      </c>
      <c r="J5" s="4"/>
      <c r="K5" s="15" t="s">
        <v>40</v>
      </c>
      <c r="L5" s="4" t="s">
        <v>41</v>
      </c>
      <c r="M5" s="4" t="s">
        <v>24</v>
      </c>
      <c r="N5" s="4" t="s">
        <v>42</v>
      </c>
    </row>
    <row r="6" spans="1:14" ht="105.6" x14ac:dyDescent="0.3">
      <c r="A6" s="2">
        <v>5</v>
      </c>
      <c r="B6" s="2" t="s">
        <v>14</v>
      </c>
      <c r="C6" s="2" t="s">
        <v>43</v>
      </c>
      <c r="D6" s="2" t="s">
        <v>44</v>
      </c>
      <c r="E6" s="2"/>
      <c r="F6" s="2" t="s">
        <v>45</v>
      </c>
      <c r="G6" s="2" t="s">
        <v>19</v>
      </c>
      <c r="H6" s="2" t="s">
        <v>20</v>
      </c>
      <c r="I6" s="2" t="s">
        <v>21</v>
      </c>
      <c r="J6" s="15" t="s">
        <v>46</v>
      </c>
      <c r="K6" s="15" t="s">
        <v>47</v>
      </c>
      <c r="L6" s="2" t="s">
        <v>48</v>
      </c>
      <c r="M6" s="2" t="s">
        <v>24</v>
      </c>
      <c r="N6" s="2" t="s">
        <v>49</v>
      </c>
    </row>
    <row r="7" spans="1:14" ht="132" x14ac:dyDescent="0.3">
      <c r="A7" s="4">
        <v>6</v>
      </c>
      <c r="B7" s="4" t="s">
        <v>14</v>
      </c>
      <c r="C7" s="4" t="s">
        <v>50</v>
      </c>
      <c r="D7" s="4" t="s">
        <v>51</v>
      </c>
      <c r="E7" s="4"/>
      <c r="F7" s="4" t="s">
        <v>52</v>
      </c>
      <c r="G7" s="4" t="s">
        <v>19</v>
      </c>
      <c r="H7" s="4" t="s">
        <v>53</v>
      </c>
      <c r="I7" s="4" t="s">
        <v>21</v>
      </c>
      <c r="J7" s="15" t="s">
        <v>54</v>
      </c>
      <c r="K7" s="15" t="s">
        <v>55</v>
      </c>
      <c r="L7" s="4" t="s">
        <v>41</v>
      </c>
      <c r="M7" s="4" t="s">
        <v>24</v>
      </c>
      <c r="N7" s="4" t="s">
        <v>56</v>
      </c>
    </row>
    <row r="8" spans="1:14" ht="92.4" x14ac:dyDescent="0.3">
      <c r="A8" s="2">
        <v>7</v>
      </c>
      <c r="B8" s="2" t="s">
        <v>14</v>
      </c>
      <c r="C8" s="2" t="s">
        <v>57</v>
      </c>
      <c r="D8" s="2" t="s">
        <v>58</v>
      </c>
      <c r="E8" s="2"/>
      <c r="F8" s="2" t="s">
        <v>59</v>
      </c>
      <c r="G8" s="2" t="s">
        <v>19</v>
      </c>
      <c r="H8" s="2" t="s">
        <v>20</v>
      </c>
      <c r="I8" s="2" t="s">
        <v>21</v>
      </c>
      <c r="J8" s="2"/>
      <c r="K8" s="15" t="s">
        <v>60</v>
      </c>
      <c r="L8" s="2" t="s">
        <v>61</v>
      </c>
      <c r="M8" s="2" t="s">
        <v>24</v>
      </c>
      <c r="N8" s="2" t="s">
        <v>62</v>
      </c>
    </row>
    <row r="9" spans="1:14" ht="79.2" x14ac:dyDescent="0.3">
      <c r="A9" s="4">
        <v>8</v>
      </c>
      <c r="B9" s="4" t="s">
        <v>63</v>
      </c>
      <c r="C9" s="4" t="s">
        <v>64</v>
      </c>
      <c r="D9" s="4" t="s">
        <v>65</v>
      </c>
      <c r="E9" s="4"/>
      <c r="F9" s="4" t="s">
        <v>66</v>
      </c>
      <c r="G9" s="4" t="s">
        <v>19</v>
      </c>
      <c r="H9" s="4" t="s">
        <v>20</v>
      </c>
      <c r="I9" s="4" t="s">
        <v>21</v>
      </c>
      <c r="J9" s="4"/>
      <c r="K9" s="4"/>
      <c r="L9" s="4" t="s">
        <v>67</v>
      </c>
      <c r="M9" s="4" t="s">
        <v>68</v>
      </c>
      <c r="N9" s="4" t="s">
        <v>69</v>
      </c>
    </row>
    <row r="10" spans="1:14" ht="264" x14ac:dyDescent="0.3">
      <c r="A10" s="16">
        <v>46185</v>
      </c>
      <c r="B10" s="2" t="s">
        <v>98</v>
      </c>
      <c r="C10" s="2" t="s">
        <v>99</v>
      </c>
      <c r="D10" s="2" t="s">
        <v>100</v>
      </c>
      <c r="E10" s="2"/>
      <c r="F10" s="2" t="s">
        <v>101</v>
      </c>
      <c r="G10" s="2" t="s">
        <v>102</v>
      </c>
      <c r="H10" s="2" t="s">
        <v>103</v>
      </c>
      <c r="I10" s="2" t="s">
        <v>104</v>
      </c>
      <c r="J10" s="2" t="s">
        <v>105</v>
      </c>
      <c r="K10" s="2"/>
      <c r="L10" s="2"/>
      <c r="M10" s="2"/>
      <c r="N10" s="2"/>
    </row>
    <row r="11" spans="1:14" ht="409.6" x14ac:dyDescent="0.3">
      <c r="A11" s="17">
        <v>46185</v>
      </c>
      <c r="B11" s="4" t="s">
        <v>98</v>
      </c>
      <c r="C11" s="4" t="s">
        <v>99</v>
      </c>
      <c r="D11" s="4" t="s">
        <v>100</v>
      </c>
      <c r="E11" s="4" t="s">
        <v>20</v>
      </c>
      <c r="F11" s="4" t="s">
        <v>106</v>
      </c>
      <c r="G11" s="4" t="s">
        <v>102</v>
      </c>
      <c r="H11" s="4" t="s">
        <v>107</v>
      </c>
      <c r="I11" s="4" t="s">
        <v>108</v>
      </c>
      <c r="J11" s="4" t="s">
        <v>109</v>
      </c>
      <c r="K11" s="4"/>
      <c r="L11" s="4"/>
      <c r="M11" s="4"/>
      <c r="N11" s="4"/>
    </row>
    <row r="12" spans="1:14" ht="409.6" x14ac:dyDescent="0.3">
      <c r="A12" s="16">
        <v>46185</v>
      </c>
      <c r="B12" s="2" t="s">
        <v>110</v>
      </c>
      <c r="C12" s="2" t="s">
        <v>111</v>
      </c>
      <c r="D12" s="2" t="s">
        <v>112</v>
      </c>
      <c r="E12" s="2"/>
      <c r="F12" s="2" t="s">
        <v>113</v>
      </c>
      <c r="G12" s="2" t="s">
        <v>114</v>
      </c>
      <c r="H12" s="2" t="s">
        <v>115</v>
      </c>
      <c r="I12" s="2" t="s">
        <v>116</v>
      </c>
      <c r="J12" s="2" t="s">
        <v>117</v>
      </c>
      <c r="K12" s="2"/>
      <c r="L12" s="2"/>
      <c r="M12" s="2"/>
      <c r="N12" s="2"/>
    </row>
    <row r="13" spans="1:14" ht="105.6" x14ac:dyDescent="0.3">
      <c r="A13" s="17">
        <v>46185</v>
      </c>
      <c r="B13" s="4" t="s">
        <v>110</v>
      </c>
      <c r="C13" s="4" t="s">
        <v>111</v>
      </c>
      <c r="D13" s="4" t="s">
        <v>112</v>
      </c>
      <c r="E13" s="4" t="s">
        <v>20</v>
      </c>
      <c r="F13" s="4" t="s">
        <v>118</v>
      </c>
      <c r="G13" s="4" t="s">
        <v>114</v>
      </c>
      <c r="H13" s="4"/>
      <c r="I13" s="4"/>
      <c r="J13" s="4"/>
      <c r="K13" s="4"/>
      <c r="L13" s="4"/>
      <c r="M13" s="4"/>
      <c r="N13" s="4"/>
    </row>
    <row r="14" spans="1:14" ht="343.2" x14ac:dyDescent="0.3">
      <c r="A14" s="16">
        <v>46185</v>
      </c>
      <c r="B14" s="2" t="s">
        <v>119</v>
      </c>
      <c r="C14" s="2" t="s">
        <v>120</v>
      </c>
      <c r="D14" s="2" t="s">
        <v>121</v>
      </c>
      <c r="E14" s="2" t="s">
        <v>20</v>
      </c>
      <c r="F14" s="2" t="s">
        <v>122</v>
      </c>
      <c r="G14" s="2" t="s">
        <v>123</v>
      </c>
      <c r="H14" s="2"/>
      <c r="I14" s="2"/>
      <c r="J14" s="2"/>
      <c r="K14" s="2"/>
      <c r="L14" s="2"/>
      <c r="M14" s="2"/>
      <c r="N14" s="2"/>
    </row>
    <row r="15" spans="1:14" ht="409.6" x14ac:dyDescent="0.3">
      <c r="A15" s="17">
        <v>46185</v>
      </c>
      <c r="B15" s="4" t="s">
        <v>98</v>
      </c>
      <c r="C15" s="4" t="s">
        <v>99</v>
      </c>
      <c r="D15" s="4" t="s">
        <v>100</v>
      </c>
      <c r="E15" s="4" t="s">
        <v>20</v>
      </c>
      <c r="F15" s="4" t="s">
        <v>124</v>
      </c>
      <c r="G15" s="4" t="s">
        <v>102</v>
      </c>
      <c r="H15" s="4" t="s">
        <v>125</v>
      </c>
      <c r="I15" s="4" t="s">
        <v>126</v>
      </c>
      <c r="J15" s="4" t="s">
        <v>127</v>
      </c>
      <c r="K15" s="4"/>
      <c r="L15" s="4"/>
      <c r="M15" s="4"/>
      <c r="N15" s="4"/>
    </row>
    <row r="16" spans="1:14" ht="409.6" x14ac:dyDescent="0.3">
      <c r="A16" s="16">
        <v>46185</v>
      </c>
      <c r="B16" s="2" t="s">
        <v>128</v>
      </c>
      <c r="C16" s="2" t="s">
        <v>129</v>
      </c>
      <c r="D16" s="2" t="s">
        <v>130</v>
      </c>
      <c r="E16" s="2" t="s">
        <v>20</v>
      </c>
      <c r="F16" s="2" t="s">
        <v>131</v>
      </c>
      <c r="G16" s="2" t="s">
        <v>132</v>
      </c>
      <c r="H16" s="2" t="s">
        <v>133</v>
      </c>
      <c r="I16" s="2" t="s">
        <v>134</v>
      </c>
      <c r="J16" s="2" t="s">
        <v>135</v>
      </c>
      <c r="K16" s="2"/>
      <c r="L16" s="2"/>
      <c r="M16" s="2"/>
      <c r="N16" s="2"/>
    </row>
    <row r="17" spans="1:14" ht="409.6" x14ac:dyDescent="0.3">
      <c r="A17" s="17">
        <v>46185</v>
      </c>
      <c r="B17" s="4" t="s">
        <v>119</v>
      </c>
      <c r="C17" s="4" t="s">
        <v>120</v>
      </c>
      <c r="D17" s="4" t="s">
        <v>121</v>
      </c>
      <c r="E17" s="4"/>
      <c r="F17" s="4" t="s">
        <v>136</v>
      </c>
      <c r="G17" s="4" t="s">
        <v>123</v>
      </c>
      <c r="H17" s="4" t="s">
        <v>137</v>
      </c>
      <c r="I17" s="4" t="s">
        <v>138</v>
      </c>
      <c r="J17" s="4" t="s">
        <v>139</v>
      </c>
      <c r="K17" s="4"/>
      <c r="L17" s="4"/>
      <c r="M17" s="4"/>
      <c r="N17" s="4"/>
    </row>
    <row r="18" spans="1:14" ht="105.6" x14ac:dyDescent="0.3">
      <c r="A18" s="16">
        <v>46185</v>
      </c>
      <c r="B18" s="2" t="s">
        <v>119</v>
      </c>
      <c r="C18" s="2" t="s">
        <v>120</v>
      </c>
      <c r="D18" s="2" t="s">
        <v>121</v>
      </c>
      <c r="E18" s="2" t="s">
        <v>20</v>
      </c>
      <c r="F18" s="2" t="s">
        <v>140</v>
      </c>
      <c r="G18" s="2" t="s">
        <v>123</v>
      </c>
      <c r="H18" s="2"/>
      <c r="I18" s="2"/>
      <c r="J18" s="2"/>
      <c r="K18" s="2"/>
      <c r="L18" s="2"/>
      <c r="M18" s="2"/>
      <c r="N18" s="2"/>
    </row>
    <row r="19" spans="1:14" ht="356.4" x14ac:dyDescent="0.3">
      <c r="A19" s="17">
        <v>46185</v>
      </c>
      <c r="B19" s="4" t="s">
        <v>119</v>
      </c>
      <c r="C19" s="4" t="s">
        <v>141</v>
      </c>
      <c r="D19" s="4" t="s">
        <v>142</v>
      </c>
      <c r="E19" s="4" t="s">
        <v>20</v>
      </c>
      <c r="F19" s="4" t="s">
        <v>143</v>
      </c>
      <c r="G19" s="4" t="s">
        <v>47</v>
      </c>
      <c r="H19" s="4"/>
      <c r="I19" s="4"/>
      <c r="J19" s="4"/>
      <c r="K19" s="4"/>
      <c r="L19" s="4"/>
      <c r="M19" s="4"/>
      <c r="N19" s="4"/>
    </row>
    <row r="20" spans="1:14" ht="409.6" x14ac:dyDescent="0.3">
      <c r="A20" s="16">
        <v>46185</v>
      </c>
      <c r="B20" s="2" t="s">
        <v>119</v>
      </c>
      <c r="C20" s="2" t="s">
        <v>141</v>
      </c>
      <c r="D20" s="2" t="s">
        <v>142</v>
      </c>
      <c r="E20" s="2"/>
      <c r="F20" s="2" t="s">
        <v>144</v>
      </c>
      <c r="G20" s="2" t="s">
        <v>47</v>
      </c>
      <c r="H20" s="2" t="s">
        <v>145</v>
      </c>
      <c r="I20" s="2" t="s">
        <v>146</v>
      </c>
      <c r="J20" s="2" t="s">
        <v>147</v>
      </c>
      <c r="K20" s="2"/>
      <c r="L20" s="2"/>
      <c r="M20" s="2"/>
      <c r="N20" s="2"/>
    </row>
    <row r="21" spans="1:14" ht="105.6" x14ac:dyDescent="0.3">
      <c r="A21" s="17">
        <v>46185</v>
      </c>
      <c r="B21" s="4" t="s">
        <v>119</v>
      </c>
      <c r="C21" s="4" t="s">
        <v>148</v>
      </c>
      <c r="D21" s="4" t="s">
        <v>149</v>
      </c>
      <c r="E21" s="4" t="s">
        <v>20</v>
      </c>
      <c r="F21" s="4" t="s">
        <v>150</v>
      </c>
      <c r="G21" s="4" t="s">
        <v>151</v>
      </c>
      <c r="H21" s="4"/>
      <c r="I21" s="4"/>
      <c r="J21" s="4"/>
      <c r="K21" s="4"/>
      <c r="L21" s="4"/>
      <c r="M21" s="4"/>
      <c r="N21" s="4"/>
    </row>
    <row r="22" spans="1:14" ht="409.6" x14ac:dyDescent="0.3">
      <c r="A22" s="16">
        <v>46185</v>
      </c>
      <c r="B22" s="2" t="s">
        <v>119</v>
      </c>
      <c r="C22" s="2" t="s">
        <v>148</v>
      </c>
      <c r="D22" s="2" t="s">
        <v>149</v>
      </c>
      <c r="E22" s="2" t="s">
        <v>20</v>
      </c>
      <c r="F22" s="2" t="s">
        <v>152</v>
      </c>
      <c r="G22" s="2" t="s">
        <v>151</v>
      </c>
      <c r="H22" s="2" t="s">
        <v>153</v>
      </c>
      <c r="I22" s="2" t="s">
        <v>154</v>
      </c>
      <c r="J22" s="2" t="s">
        <v>155</v>
      </c>
      <c r="K22" s="2"/>
      <c r="L22" s="2"/>
      <c r="M22" s="2"/>
      <c r="N22" s="2"/>
    </row>
    <row r="23" spans="1:14" ht="409.6" x14ac:dyDescent="0.3">
      <c r="A23" s="17">
        <v>46185</v>
      </c>
      <c r="B23" s="4" t="s">
        <v>156</v>
      </c>
      <c r="C23" s="4" t="s">
        <v>157</v>
      </c>
      <c r="D23" s="4" t="s">
        <v>158</v>
      </c>
      <c r="E23" s="4" t="s">
        <v>20</v>
      </c>
      <c r="F23" s="4" t="s">
        <v>159</v>
      </c>
      <c r="G23" s="4" t="s">
        <v>160</v>
      </c>
      <c r="H23" s="4" t="s">
        <v>161</v>
      </c>
      <c r="I23" s="4" t="s">
        <v>162</v>
      </c>
      <c r="J23" s="4" t="s">
        <v>163</v>
      </c>
      <c r="K23" s="4"/>
      <c r="L23" s="4"/>
      <c r="M23" s="4"/>
      <c r="N23" s="4"/>
    </row>
    <row r="24" spans="1:14" ht="409.6" x14ac:dyDescent="0.3">
      <c r="A24" s="16">
        <v>46185</v>
      </c>
      <c r="B24" s="2" t="s">
        <v>98</v>
      </c>
      <c r="C24" s="2" t="s">
        <v>99</v>
      </c>
      <c r="D24" s="2" t="s">
        <v>100</v>
      </c>
      <c r="E24" s="2" t="s">
        <v>20</v>
      </c>
      <c r="F24" s="2" t="s">
        <v>164</v>
      </c>
      <c r="G24" s="2" t="s">
        <v>102</v>
      </c>
      <c r="H24" s="2" t="s">
        <v>165</v>
      </c>
      <c r="I24" s="2" t="s">
        <v>166</v>
      </c>
      <c r="J24" s="2" t="s">
        <v>167</v>
      </c>
      <c r="K24" s="2"/>
      <c r="L24" s="2"/>
      <c r="M24" s="2"/>
      <c r="N24" s="2"/>
    </row>
    <row r="25" spans="1:14" ht="409.6" x14ac:dyDescent="0.3">
      <c r="A25" s="17">
        <v>46185</v>
      </c>
      <c r="B25" s="4" t="s">
        <v>119</v>
      </c>
      <c r="C25" s="4" t="s">
        <v>168</v>
      </c>
      <c r="D25" s="4" t="s">
        <v>121</v>
      </c>
      <c r="E25" s="4" t="s">
        <v>20</v>
      </c>
      <c r="F25" s="4" t="s">
        <v>169</v>
      </c>
      <c r="G25" s="4" t="s">
        <v>170</v>
      </c>
      <c r="H25" s="4" t="s">
        <v>171</v>
      </c>
      <c r="I25" s="4" t="s">
        <v>172</v>
      </c>
      <c r="J25" s="4" t="s">
        <v>173</v>
      </c>
      <c r="K25" s="4"/>
      <c r="L25" s="4"/>
      <c r="M25" s="4"/>
      <c r="N25" s="4"/>
    </row>
    <row r="26" spans="1:14" ht="409.6" x14ac:dyDescent="0.3">
      <c r="A26" s="16">
        <v>46185</v>
      </c>
      <c r="B26" s="2" t="s">
        <v>174</v>
      </c>
      <c r="C26" s="2" t="s">
        <v>175</v>
      </c>
      <c r="D26" s="2" t="s">
        <v>176</v>
      </c>
      <c r="E26" s="2" t="s">
        <v>20</v>
      </c>
      <c r="F26" s="2" t="s">
        <v>177</v>
      </c>
      <c r="G26" s="2" t="s">
        <v>178</v>
      </c>
      <c r="H26" s="2" t="s">
        <v>179</v>
      </c>
      <c r="I26" s="2" t="s">
        <v>180</v>
      </c>
      <c r="J26" s="2" t="s">
        <v>181</v>
      </c>
      <c r="K26" s="2"/>
      <c r="L26" s="2"/>
      <c r="M26" s="2"/>
      <c r="N26" s="2"/>
    </row>
    <row r="27" spans="1:14" ht="409.6" x14ac:dyDescent="0.3">
      <c r="A27" s="17">
        <v>46185</v>
      </c>
      <c r="B27" s="4" t="s">
        <v>156</v>
      </c>
      <c r="C27" s="4" t="s">
        <v>182</v>
      </c>
      <c r="D27" s="4" t="s">
        <v>183</v>
      </c>
      <c r="E27" s="4" t="s">
        <v>20</v>
      </c>
      <c r="F27" s="4" t="s">
        <v>184</v>
      </c>
      <c r="G27" s="4" t="s">
        <v>185</v>
      </c>
      <c r="H27" s="4" t="s">
        <v>186</v>
      </c>
      <c r="I27" s="4" t="s">
        <v>187</v>
      </c>
      <c r="J27" s="4" t="s">
        <v>188</v>
      </c>
      <c r="K27" s="4"/>
      <c r="L27" s="4"/>
      <c r="M27" s="4"/>
      <c r="N27" s="4"/>
    </row>
    <row r="28" spans="1:14" ht="409.6" x14ac:dyDescent="0.3">
      <c r="A28" s="16">
        <v>46185</v>
      </c>
      <c r="B28" s="2" t="s">
        <v>189</v>
      </c>
      <c r="C28" s="2" t="s">
        <v>190</v>
      </c>
      <c r="D28" s="2" t="s">
        <v>121</v>
      </c>
      <c r="E28" s="2" t="s">
        <v>20</v>
      </c>
      <c r="F28" s="2" t="s">
        <v>191</v>
      </c>
      <c r="G28" s="2" t="s">
        <v>192</v>
      </c>
      <c r="H28" s="2" t="s">
        <v>193</v>
      </c>
      <c r="I28" s="2" t="s">
        <v>194</v>
      </c>
      <c r="J28" s="2" t="s">
        <v>195</v>
      </c>
      <c r="K28" s="2"/>
      <c r="L28" s="2"/>
      <c r="M28" s="2"/>
      <c r="N28" s="2"/>
    </row>
    <row r="29" spans="1:14" ht="409.6" x14ac:dyDescent="0.3">
      <c r="A29" s="17">
        <v>46185</v>
      </c>
      <c r="B29" s="4" t="s">
        <v>196</v>
      </c>
      <c r="C29" s="4" t="s">
        <v>197</v>
      </c>
      <c r="D29" s="4" t="s">
        <v>198</v>
      </c>
      <c r="E29" s="4" t="s">
        <v>20</v>
      </c>
      <c r="F29" s="4" t="s">
        <v>199</v>
      </c>
      <c r="G29" s="4" t="s">
        <v>200</v>
      </c>
      <c r="H29" s="4" t="s">
        <v>201</v>
      </c>
      <c r="I29" s="4" t="s">
        <v>202</v>
      </c>
      <c r="J29" s="4" t="s">
        <v>203</v>
      </c>
      <c r="K29" s="4"/>
      <c r="L29" s="4"/>
      <c r="M29" s="4"/>
      <c r="N29" s="4"/>
    </row>
    <row r="30" spans="1:14" ht="409.6" x14ac:dyDescent="0.3">
      <c r="A30" s="16">
        <v>46185</v>
      </c>
      <c r="B30" s="2" t="s">
        <v>204</v>
      </c>
      <c r="C30" s="2" t="s">
        <v>205</v>
      </c>
      <c r="D30" s="2" t="s">
        <v>206</v>
      </c>
      <c r="E30" s="2" t="s">
        <v>20</v>
      </c>
      <c r="F30" s="2" t="s">
        <v>207</v>
      </c>
      <c r="G30" s="2" t="s">
        <v>208</v>
      </c>
      <c r="H30" s="2" t="s">
        <v>209</v>
      </c>
      <c r="I30" s="2" t="s">
        <v>210</v>
      </c>
      <c r="J30" s="2" t="s">
        <v>211</v>
      </c>
      <c r="K30" s="2"/>
      <c r="L30" s="2"/>
      <c r="M30" s="2"/>
      <c r="N30" s="2"/>
    </row>
    <row r="31" spans="1:14" ht="409.6" x14ac:dyDescent="0.3">
      <c r="A31" s="17">
        <v>46185</v>
      </c>
      <c r="B31" s="4" t="s">
        <v>212</v>
      </c>
      <c r="C31" s="4" t="s">
        <v>213</v>
      </c>
      <c r="D31" s="4" t="s">
        <v>214</v>
      </c>
      <c r="E31" s="4" t="s">
        <v>215</v>
      </c>
      <c r="F31" s="4" t="s">
        <v>216</v>
      </c>
      <c r="G31" s="4" t="s">
        <v>217</v>
      </c>
      <c r="H31" s="4" t="s">
        <v>218</v>
      </c>
      <c r="I31" s="4" t="s">
        <v>219</v>
      </c>
      <c r="J31" s="4" t="s">
        <v>220</v>
      </c>
      <c r="K31" s="4"/>
      <c r="L31" s="4"/>
      <c r="M31" s="4"/>
      <c r="N31" s="4"/>
    </row>
    <row r="32" spans="1:14" ht="409.6" x14ac:dyDescent="0.3">
      <c r="A32" s="16">
        <v>46185</v>
      </c>
      <c r="B32" s="2" t="s">
        <v>119</v>
      </c>
      <c r="C32" s="2" t="s">
        <v>221</v>
      </c>
      <c r="D32" s="2" t="s">
        <v>121</v>
      </c>
      <c r="E32" s="2" t="s">
        <v>20</v>
      </c>
      <c r="F32" s="2" t="s">
        <v>222</v>
      </c>
      <c r="G32" s="2" t="s">
        <v>223</v>
      </c>
      <c r="H32" s="2" t="s">
        <v>224</v>
      </c>
      <c r="I32" s="2" t="s">
        <v>225</v>
      </c>
      <c r="J32" s="2" t="s">
        <v>226</v>
      </c>
      <c r="K32" s="2"/>
      <c r="L32" s="2"/>
      <c r="M32" s="2"/>
      <c r="N32" s="2"/>
    </row>
    <row r="33" spans="1:14" ht="409.6" x14ac:dyDescent="0.3">
      <c r="A33" s="17">
        <v>46185</v>
      </c>
      <c r="B33" s="4" t="s">
        <v>212</v>
      </c>
      <c r="C33" s="4" t="s">
        <v>227</v>
      </c>
      <c r="D33" s="4" t="s">
        <v>228</v>
      </c>
      <c r="E33" s="4" t="s">
        <v>20</v>
      </c>
      <c r="F33" s="4" t="s">
        <v>229</v>
      </c>
      <c r="G33" s="4" t="s">
        <v>230</v>
      </c>
      <c r="H33" s="4" t="s">
        <v>231</v>
      </c>
      <c r="I33" s="4" t="s">
        <v>232</v>
      </c>
      <c r="J33" s="4" t="s">
        <v>233</v>
      </c>
      <c r="K33" s="4"/>
      <c r="L33" s="4"/>
      <c r="M33" s="4"/>
      <c r="N33" s="4"/>
    </row>
    <row r="34" spans="1:14" ht="409.6" x14ac:dyDescent="0.3">
      <c r="A34" s="16">
        <v>46185</v>
      </c>
      <c r="B34" s="2" t="s">
        <v>234</v>
      </c>
      <c r="C34" s="2" t="s">
        <v>235</v>
      </c>
      <c r="D34" s="2" t="s">
        <v>121</v>
      </c>
      <c r="E34" s="2" t="s">
        <v>20</v>
      </c>
      <c r="F34" s="2" t="s">
        <v>236</v>
      </c>
      <c r="G34" s="2" t="s">
        <v>237</v>
      </c>
      <c r="H34" s="2" t="s">
        <v>238</v>
      </c>
      <c r="I34" s="2" t="s">
        <v>239</v>
      </c>
      <c r="J34" s="2" t="s">
        <v>240</v>
      </c>
      <c r="K34" s="2"/>
      <c r="L34" s="2"/>
      <c r="M34" s="2"/>
      <c r="N34" s="2"/>
    </row>
    <row r="35" spans="1:14" ht="409.6" x14ac:dyDescent="0.3">
      <c r="A35" s="17">
        <v>46185</v>
      </c>
      <c r="B35" s="4" t="s">
        <v>241</v>
      </c>
      <c r="C35" s="4" t="s">
        <v>242</v>
      </c>
      <c r="D35" s="4" t="s">
        <v>176</v>
      </c>
      <c r="E35" s="4" t="s">
        <v>20</v>
      </c>
      <c r="F35" s="4" t="s">
        <v>243</v>
      </c>
      <c r="G35" s="4" t="s">
        <v>244</v>
      </c>
      <c r="H35" s="4" t="s">
        <v>245</v>
      </c>
      <c r="I35" s="4" t="s">
        <v>246</v>
      </c>
      <c r="J35" s="4" t="s">
        <v>247</v>
      </c>
      <c r="K35" s="4"/>
      <c r="L35" s="4"/>
      <c r="M35" s="4"/>
      <c r="N35" s="4"/>
    </row>
    <row r="36" spans="1:14" ht="409.6" x14ac:dyDescent="0.3">
      <c r="A36" s="16">
        <v>46185</v>
      </c>
      <c r="B36" s="2" t="s">
        <v>248</v>
      </c>
      <c r="C36" s="2" t="s">
        <v>249</v>
      </c>
      <c r="D36" s="2" t="s">
        <v>250</v>
      </c>
      <c r="E36" s="2" t="s">
        <v>215</v>
      </c>
      <c r="F36" s="2" t="s">
        <v>251</v>
      </c>
      <c r="G36" s="2" t="s">
        <v>252</v>
      </c>
      <c r="H36" s="2" t="s">
        <v>253</v>
      </c>
      <c r="I36" s="2" t="s">
        <v>254</v>
      </c>
      <c r="J36" s="2" t="s">
        <v>255</v>
      </c>
      <c r="K36" s="2"/>
      <c r="L36" s="2"/>
      <c r="M36" s="2"/>
      <c r="N36" s="2"/>
    </row>
    <row r="37" spans="1:14" ht="409.6" x14ac:dyDescent="0.3">
      <c r="A37" s="17">
        <v>46185</v>
      </c>
      <c r="B37" s="4" t="s">
        <v>256</v>
      </c>
      <c r="C37" s="4" t="s">
        <v>257</v>
      </c>
      <c r="D37" s="4" t="s">
        <v>258</v>
      </c>
      <c r="E37" s="4"/>
      <c r="F37" s="4" t="s">
        <v>259</v>
      </c>
      <c r="G37" s="4" t="s">
        <v>260</v>
      </c>
      <c r="H37" s="4" t="s">
        <v>261</v>
      </c>
      <c r="I37" s="4" t="s">
        <v>262</v>
      </c>
      <c r="J37" s="4" t="s">
        <v>263</v>
      </c>
      <c r="K37" s="4"/>
      <c r="L37" s="4"/>
      <c r="M37" s="4"/>
      <c r="N37" s="4"/>
    </row>
    <row r="38" spans="1:14" ht="409.6" x14ac:dyDescent="0.3">
      <c r="A38" s="16">
        <v>46185</v>
      </c>
      <c r="B38" s="2" t="s">
        <v>264</v>
      </c>
      <c r="C38" s="2" t="s">
        <v>265</v>
      </c>
      <c r="D38" s="2" t="s">
        <v>149</v>
      </c>
      <c r="E38" s="2" t="s">
        <v>20</v>
      </c>
      <c r="F38" s="2" t="s">
        <v>266</v>
      </c>
      <c r="G38" s="2" t="s">
        <v>267</v>
      </c>
      <c r="H38" s="2" t="s">
        <v>268</v>
      </c>
      <c r="I38" s="2" t="s">
        <v>269</v>
      </c>
      <c r="J38" s="2" t="s">
        <v>270</v>
      </c>
      <c r="K38" s="2"/>
      <c r="L38" s="2"/>
      <c r="M38" s="2"/>
      <c r="N38" s="2"/>
    </row>
    <row r="39" spans="1:14" ht="105.6" x14ac:dyDescent="0.3">
      <c r="A39" s="17">
        <v>46185</v>
      </c>
      <c r="B39" s="4" t="s">
        <v>64</v>
      </c>
      <c r="C39" s="4" t="s">
        <v>271</v>
      </c>
      <c r="D39" s="4" t="s">
        <v>272</v>
      </c>
      <c r="E39" s="4" t="s">
        <v>215</v>
      </c>
      <c r="F39" s="4" t="s">
        <v>273</v>
      </c>
      <c r="G39" s="4" t="s">
        <v>274</v>
      </c>
      <c r="H39" s="4"/>
      <c r="I39" s="4"/>
      <c r="J39" s="4"/>
      <c r="K39" s="4"/>
      <c r="L39" s="4"/>
      <c r="M39" s="4"/>
      <c r="N39" s="4"/>
    </row>
    <row r="40" spans="1:14" ht="105.6" x14ac:dyDescent="0.3">
      <c r="A40" s="16">
        <v>46185</v>
      </c>
      <c r="B40" s="2" t="s">
        <v>256</v>
      </c>
      <c r="C40" s="2" t="s">
        <v>257</v>
      </c>
      <c r="D40" s="2" t="s">
        <v>258</v>
      </c>
      <c r="E40" s="2" t="s">
        <v>215</v>
      </c>
      <c r="F40" s="2" t="s">
        <v>273</v>
      </c>
      <c r="G40" s="2" t="s">
        <v>260</v>
      </c>
      <c r="H40" s="2"/>
      <c r="I40" s="2"/>
      <c r="J40" s="2"/>
      <c r="K40" s="2"/>
      <c r="L40" s="2"/>
      <c r="M40" s="2"/>
      <c r="N40" s="2"/>
    </row>
    <row r="41" spans="1:14" ht="105.6" x14ac:dyDescent="0.3">
      <c r="A41" s="17">
        <v>46185</v>
      </c>
      <c r="B41" s="4" t="s">
        <v>275</v>
      </c>
      <c r="C41" s="4" t="s">
        <v>276</v>
      </c>
      <c r="D41" s="4" t="s">
        <v>277</v>
      </c>
      <c r="E41" s="4" t="s">
        <v>215</v>
      </c>
      <c r="F41" s="4" t="s">
        <v>273</v>
      </c>
      <c r="G41" s="4" t="s">
        <v>278</v>
      </c>
      <c r="H41" s="4"/>
      <c r="I41" s="4"/>
      <c r="J41" s="4"/>
      <c r="K41" s="4"/>
      <c r="L41" s="4"/>
      <c r="M41" s="4"/>
      <c r="N41" s="4"/>
    </row>
    <row r="42" spans="1:14" ht="105.6" x14ac:dyDescent="0.3">
      <c r="A42" s="16">
        <v>46185</v>
      </c>
      <c r="B42" s="2" t="s">
        <v>264</v>
      </c>
      <c r="C42" s="2" t="s">
        <v>279</v>
      </c>
      <c r="D42" s="2" t="s">
        <v>121</v>
      </c>
      <c r="E42" s="2" t="s">
        <v>215</v>
      </c>
      <c r="F42" s="2" t="s">
        <v>273</v>
      </c>
      <c r="G42" s="2" t="s">
        <v>280</v>
      </c>
      <c r="H42" s="2"/>
      <c r="I42" s="2"/>
      <c r="J42" s="2"/>
      <c r="K42" s="2"/>
      <c r="L42" s="2"/>
      <c r="M42" s="2"/>
      <c r="N42" s="2"/>
    </row>
    <row r="43" spans="1:14" ht="330" x14ac:dyDescent="0.3">
      <c r="A43" s="17">
        <v>46185</v>
      </c>
      <c r="B43" s="4" t="s">
        <v>64</v>
      </c>
      <c r="C43" s="4" t="s">
        <v>271</v>
      </c>
      <c r="D43" s="4" t="s">
        <v>272</v>
      </c>
      <c r="E43" s="4" t="s">
        <v>20</v>
      </c>
      <c r="F43" s="4" t="s">
        <v>281</v>
      </c>
      <c r="G43" s="4" t="s">
        <v>274</v>
      </c>
      <c r="H43" s="4"/>
      <c r="I43" s="4" t="s">
        <v>282</v>
      </c>
      <c r="J43" s="4" t="s">
        <v>283</v>
      </c>
      <c r="K43" s="4"/>
      <c r="L43" s="4"/>
      <c r="M43" s="4"/>
      <c r="N43" s="4"/>
    </row>
    <row r="44" spans="1:14" ht="330" x14ac:dyDescent="0.3">
      <c r="A44" s="16">
        <v>46185</v>
      </c>
      <c r="B44" s="2" t="s">
        <v>128</v>
      </c>
      <c r="C44" s="2" t="s">
        <v>129</v>
      </c>
      <c r="D44" s="2" t="s">
        <v>130</v>
      </c>
      <c r="E44" s="2" t="s">
        <v>20</v>
      </c>
      <c r="F44" s="2" t="s">
        <v>284</v>
      </c>
      <c r="G44" s="2" t="s">
        <v>132</v>
      </c>
      <c r="H44" s="2"/>
      <c r="I44" s="2" t="s">
        <v>285</v>
      </c>
      <c r="J44" s="2" t="s">
        <v>286</v>
      </c>
      <c r="K44" s="2"/>
      <c r="L44" s="2"/>
      <c r="M44" s="2"/>
      <c r="N44" s="2"/>
    </row>
    <row r="45" spans="1:14" ht="343.2" x14ac:dyDescent="0.3">
      <c r="A45" s="17">
        <v>46185</v>
      </c>
      <c r="B45" s="4" t="s">
        <v>256</v>
      </c>
      <c r="C45" s="4" t="s">
        <v>257</v>
      </c>
      <c r="D45" s="4" t="s">
        <v>258</v>
      </c>
      <c r="E45" s="4" t="s">
        <v>20</v>
      </c>
      <c r="F45" s="4" t="s">
        <v>287</v>
      </c>
      <c r="G45" s="4" t="s">
        <v>260</v>
      </c>
      <c r="H45" s="4"/>
      <c r="I45" s="4" t="s">
        <v>285</v>
      </c>
      <c r="J45" s="4" t="s">
        <v>288</v>
      </c>
      <c r="K45" s="4"/>
      <c r="L45" s="4"/>
      <c r="M45" s="4"/>
      <c r="N45" s="4"/>
    </row>
    <row r="46" spans="1:14" ht="316.8" x14ac:dyDescent="0.3">
      <c r="A46" s="16">
        <v>46185</v>
      </c>
      <c r="B46" s="2" t="s">
        <v>119</v>
      </c>
      <c r="C46" s="2" t="s">
        <v>148</v>
      </c>
      <c r="D46" s="2" t="s">
        <v>149</v>
      </c>
      <c r="E46" s="2" t="s">
        <v>20</v>
      </c>
      <c r="F46" s="2" t="s">
        <v>289</v>
      </c>
      <c r="G46" s="2" t="s">
        <v>151</v>
      </c>
      <c r="H46" s="2"/>
      <c r="I46" s="2" t="s">
        <v>290</v>
      </c>
      <c r="J46" s="2" t="s">
        <v>291</v>
      </c>
      <c r="K46" s="2"/>
      <c r="L46" s="2"/>
      <c r="M46" s="2"/>
      <c r="N46" s="2"/>
    </row>
    <row r="47" spans="1:14" ht="303.60000000000002" x14ac:dyDescent="0.3">
      <c r="A47" s="17">
        <v>46185</v>
      </c>
      <c r="B47" s="4" t="s">
        <v>275</v>
      </c>
      <c r="C47" s="4" t="s">
        <v>276</v>
      </c>
      <c r="D47" s="4" t="s">
        <v>277</v>
      </c>
      <c r="E47" s="4" t="s">
        <v>20</v>
      </c>
      <c r="F47" s="4" t="s">
        <v>292</v>
      </c>
      <c r="G47" s="4" t="s">
        <v>278</v>
      </c>
      <c r="H47" s="4"/>
      <c r="I47" s="4" t="s">
        <v>293</v>
      </c>
      <c r="J47" s="4" t="s">
        <v>294</v>
      </c>
      <c r="K47" s="4"/>
      <c r="L47" s="4"/>
      <c r="M47" s="4"/>
      <c r="N47" s="4"/>
    </row>
    <row r="48" spans="1:14" ht="303.60000000000002" x14ac:dyDescent="0.3">
      <c r="A48" s="16">
        <v>46185</v>
      </c>
      <c r="B48" s="2" t="s">
        <v>156</v>
      </c>
      <c r="C48" s="2" t="s">
        <v>157</v>
      </c>
      <c r="D48" s="2" t="s">
        <v>158</v>
      </c>
      <c r="E48" s="2" t="s">
        <v>20</v>
      </c>
      <c r="F48" s="2" t="s">
        <v>295</v>
      </c>
      <c r="G48" s="2" t="s">
        <v>160</v>
      </c>
      <c r="H48" s="2"/>
      <c r="I48" s="2" t="s">
        <v>296</v>
      </c>
      <c r="J48" s="2" t="s">
        <v>297</v>
      </c>
      <c r="K48" s="2"/>
      <c r="L48" s="2"/>
      <c r="M48" s="2"/>
      <c r="N48" s="2"/>
    </row>
    <row r="49" spans="1:14" ht="343.2" x14ac:dyDescent="0.3">
      <c r="A49" s="17">
        <v>46185</v>
      </c>
      <c r="B49" s="4" t="s">
        <v>98</v>
      </c>
      <c r="C49" s="4" t="s">
        <v>99</v>
      </c>
      <c r="D49" s="4" t="s">
        <v>100</v>
      </c>
      <c r="E49" s="4" t="s">
        <v>215</v>
      </c>
      <c r="F49" s="4" t="s">
        <v>298</v>
      </c>
      <c r="G49" s="4" t="s">
        <v>102</v>
      </c>
      <c r="H49" s="4"/>
      <c r="I49" s="4" t="s">
        <v>299</v>
      </c>
      <c r="J49" s="4" t="s">
        <v>300</v>
      </c>
      <c r="K49" s="4"/>
      <c r="L49" s="4"/>
      <c r="M49" s="4"/>
      <c r="N49" s="4"/>
    </row>
    <row r="50" spans="1:14" ht="316.8" x14ac:dyDescent="0.3">
      <c r="A50" s="16">
        <v>46185</v>
      </c>
      <c r="B50" s="2" t="s">
        <v>119</v>
      </c>
      <c r="C50" s="2" t="s">
        <v>120</v>
      </c>
      <c r="D50" s="2" t="s">
        <v>121</v>
      </c>
      <c r="E50" s="2" t="s">
        <v>20</v>
      </c>
      <c r="F50" s="2" t="s">
        <v>301</v>
      </c>
      <c r="G50" s="2" t="s">
        <v>123</v>
      </c>
      <c r="H50" s="2"/>
      <c r="I50" s="2" t="s">
        <v>302</v>
      </c>
      <c r="J50" s="2" t="s">
        <v>303</v>
      </c>
      <c r="K50" s="2"/>
      <c r="L50" s="2"/>
      <c r="M50" s="2"/>
      <c r="N50" s="2"/>
    </row>
    <row r="51" spans="1:14" ht="356.4" x14ac:dyDescent="0.3">
      <c r="A51" s="17">
        <v>46185</v>
      </c>
      <c r="B51" s="4" t="s">
        <v>264</v>
      </c>
      <c r="C51" s="4" t="s">
        <v>279</v>
      </c>
      <c r="D51" s="4" t="s">
        <v>121</v>
      </c>
      <c r="E51" s="4" t="s">
        <v>20</v>
      </c>
      <c r="F51" s="4" t="s">
        <v>304</v>
      </c>
      <c r="G51" s="4" t="s">
        <v>280</v>
      </c>
      <c r="H51" s="4"/>
      <c r="I51" s="4" t="s">
        <v>302</v>
      </c>
      <c r="J51" s="4" t="s">
        <v>305</v>
      </c>
      <c r="K51" s="4"/>
      <c r="L51" s="4"/>
      <c r="M51" s="4"/>
      <c r="N51" s="4"/>
    </row>
    <row r="52" spans="1:14" ht="316.8" x14ac:dyDescent="0.3">
      <c r="A52" s="16">
        <v>46185</v>
      </c>
      <c r="B52" s="2" t="s">
        <v>119</v>
      </c>
      <c r="C52" s="2" t="s">
        <v>141</v>
      </c>
      <c r="D52" s="2" t="s">
        <v>142</v>
      </c>
      <c r="E52" s="2" t="s">
        <v>20</v>
      </c>
      <c r="F52" s="2" t="s">
        <v>306</v>
      </c>
      <c r="G52" s="2" t="s">
        <v>47</v>
      </c>
      <c r="H52" s="2"/>
      <c r="I52" s="2" t="s">
        <v>307</v>
      </c>
      <c r="J52" s="2" t="s">
        <v>308</v>
      </c>
      <c r="K52" s="2"/>
      <c r="L52" s="2"/>
      <c r="M52" s="2"/>
      <c r="N52" s="2"/>
    </row>
    <row r="53" spans="1:14" ht="330" x14ac:dyDescent="0.3">
      <c r="A53" s="17">
        <v>46185</v>
      </c>
      <c r="B53" s="4" t="s">
        <v>264</v>
      </c>
      <c r="C53" s="4"/>
      <c r="D53" s="4" t="s">
        <v>309</v>
      </c>
      <c r="E53" s="4" t="s">
        <v>215</v>
      </c>
      <c r="F53" s="4" t="s">
        <v>310</v>
      </c>
      <c r="G53" s="4" t="s">
        <v>311</v>
      </c>
      <c r="H53" s="4"/>
      <c r="I53" s="4" t="s">
        <v>312</v>
      </c>
      <c r="J53" s="4" t="s">
        <v>313</v>
      </c>
      <c r="K53" s="4"/>
      <c r="L53" s="4"/>
      <c r="M53" s="4"/>
      <c r="N53" s="4"/>
    </row>
    <row r="54" spans="1:14" ht="409.2" x14ac:dyDescent="0.3">
      <c r="A54" s="16">
        <v>46185</v>
      </c>
      <c r="B54" s="2" t="s">
        <v>264</v>
      </c>
      <c r="C54" s="2"/>
      <c r="D54" s="2" t="s">
        <v>314</v>
      </c>
      <c r="E54" s="2" t="s">
        <v>20</v>
      </c>
      <c r="F54" s="2" t="s">
        <v>315</v>
      </c>
      <c r="G54" s="2" t="s">
        <v>316</v>
      </c>
      <c r="H54" s="2"/>
      <c r="I54" s="2" t="s">
        <v>317</v>
      </c>
      <c r="J54" s="2" t="s">
        <v>318</v>
      </c>
      <c r="K54" s="2"/>
      <c r="L54" s="2"/>
      <c r="M54" s="2"/>
      <c r="N54" s="2"/>
    </row>
    <row r="55" spans="1:14" ht="409.2" x14ac:dyDescent="0.3">
      <c r="A55" s="17">
        <v>46185</v>
      </c>
      <c r="B55" s="4" t="s">
        <v>319</v>
      </c>
      <c r="C55" s="4"/>
      <c r="D55" s="4" t="s">
        <v>320</v>
      </c>
      <c r="E55" s="4" t="s">
        <v>215</v>
      </c>
      <c r="F55" s="4" t="s">
        <v>321</v>
      </c>
      <c r="G55" s="4" t="s">
        <v>322</v>
      </c>
      <c r="H55" s="4"/>
      <c r="I55" s="4" t="s">
        <v>323</v>
      </c>
      <c r="J55" s="4" t="s">
        <v>324</v>
      </c>
      <c r="K55" s="4"/>
      <c r="L55" s="4"/>
      <c r="M55" s="4"/>
      <c r="N55" s="4"/>
    </row>
    <row r="56" spans="1:14" ht="409.2" x14ac:dyDescent="0.3">
      <c r="A56" s="16">
        <v>46185</v>
      </c>
      <c r="B56" s="2" t="s">
        <v>325</v>
      </c>
      <c r="C56" s="2"/>
      <c r="D56" s="2" t="s">
        <v>326</v>
      </c>
      <c r="E56" s="2" t="s">
        <v>215</v>
      </c>
      <c r="F56" s="2" t="s">
        <v>327</v>
      </c>
      <c r="G56" s="2" t="s">
        <v>328</v>
      </c>
      <c r="H56" s="2"/>
      <c r="I56" s="2" t="s">
        <v>329</v>
      </c>
      <c r="J56" s="2" t="s">
        <v>330</v>
      </c>
      <c r="K56" s="2"/>
      <c r="L56" s="2"/>
      <c r="M56" s="2"/>
      <c r="N56" s="2"/>
    </row>
    <row r="57" spans="1:14" ht="409.2" x14ac:dyDescent="0.3">
      <c r="A57" s="17">
        <v>46185</v>
      </c>
      <c r="B57" s="4" t="s">
        <v>264</v>
      </c>
      <c r="C57" s="4"/>
      <c r="D57" s="4" t="s">
        <v>331</v>
      </c>
      <c r="E57" s="4" t="s">
        <v>20</v>
      </c>
      <c r="F57" s="4" t="s">
        <v>332</v>
      </c>
      <c r="G57" s="4" t="s">
        <v>333</v>
      </c>
      <c r="H57" s="4"/>
      <c r="I57" s="4" t="s">
        <v>334</v>
      </c>
      <c r="J57" s="4" t="s">
        <v>335</v>
      </c>
      <c r="K57" s="4"/>
      <c r="L57" s="4"/>
      <c r="M57" s="4"/>
      <c r="N57" s="4"/>
    </row>
    <row r="58" spans="1:14" ht="409.2" x14ac:dyDescent="0.3">
      <c r="A58" s="16">
        <v>46185</v>
      </c>
      <c r="B58" s="2" t="s">
        <v>336</v>
      </c>
      <c r="C58" s="2"/>
      <c r="D58" s="2" t="s">
        <v>337</v>
      </c>
      <c r="E58" s="2" t="s">
        <v>20</v>
      </c>
      <c r="F58" s="2" t="s">
        <v>338</v>
      </c>
      <c r="G58" s="2" t="s">
        <v>339</v>
      </c>
      <c r="H58" s="2"/>
      <c r="I58" s="2" t="s">
        <v>340</v>
      </c>
      <c r="J58" s="2" t="s">
        <v>341</v>
      </c>
      <c r="K58" s="2"/>
      <c r="L58" s="2"/>
      <c r="M58" s="2"/>
      <c r="N58" s="2"/>
    </row>
    <row r="59" spans="1:14" ht="409.6" x14ac:dyDescent="0.3">
      <c r="A59" s="17">
        <v>46185</v>
      </c>
      <c r="B59" s="4" t="s">
        <v>342</v>
      </c>
      <c r="C59" s="4"/>
      <c r="D59" s="4" t="s">
        <v>343</v>
      </c>
      <c r="E59" s="4" t="s">
        <v>215</v>
      </c>
      <c r="F59" s="4" t="s">
        <v>344</v>
      </c>
      <c r="G59" s="4" t="s">
        <v>345</v>
      </c>
      <c r="H59" s="4"/>
      <c r="I59" s="4" t="s">
        <v>346</v>
      </c>
      <c r="J59" s="4" t="s">
        <v>347</v>
      </c>
      <c r="K59" s="4"/>
      <c r="L59" s="4"/>
      <c r="M59" s="4"/>
      <c r="N59" s="4"/>
    </row>
    <row r="60" spans="1:14" ht="409.6" x14ac:dyDescent="0.3">
      <c r="A60" s="16">
        <v>46185</v>
      </c>
      <c r="B60" s="2" t="s">
        <v>348</v>
      </c>
      <c r="C60" s="2"/>
      <c r="D60" s="2" t="s">
        <v>320</v>
      </c>
      <c r="E60" s="2" t="s">
        <v>215</v>
      </c>
      <c r="F60" s="2" t="s">
        <v>349</v>
      </c>
      <c r="G60" s="2" t="s">
        <v>350</v>
      </c>
      <c r="H60" s="2"/>
      <c r="I60" s="2" t="s">
        <v>351</v>
      </c>
      <c r="J60" s="2" t="s">
        <v>352</v>
      </c>
      <c r="K60" s="2"/>
      <c r="L60" s="2"/>
      <c r="M60" s="2"/>
      <c r="N60" s="2"/>
    </row>
    <row r="61" spans="1:14" ht="409.2" x14ac:dyDescent="0.3">
      <c r="A61" s="17">
        <v>46185</v>
      </c>
      <c r="B61" s="4" t="s">
        <v>64</v>
      </c>
      <c r="C61" s="4"/>
      <c r="D61" s="4" t="s">
        <v>353</v>
      </c>
      <c r="E61" s="4" t="s">
        <v>20</v>
      </c>
      <c r="F61" s="4" t="s">
        <v>354</v>
      </c>
      <c r="G61" s="4" t="s">
        <v>355</v>
      </c>
      <c r="H61" s="4"/>
      <c r="I61" s="4" t="s">
        <v>356</v>
      </c>
      <c r="J61" s="4" t="s">
        <v>357</v>
      </c>
      <c r="K61" s="4"/>
      <c r="L61" s="4"/>
      <c r="M61" s="4"/>
      <c r="N61" s="4"/>
    </row>
    <row r="62" spans="1:14" ht="409.6" x14ac:dyDescent="0.3">
      <c r="A62" s="16">
        <v>46185</v>
      </c>
      <c r="B62" s="2" t="s">
        <v>358</v>
      </c>
      <c r="C62" s="2"/>
      <c r="D62" s="2" t="s">
        <v>320</v>
      </c>
      <c r="E62" s="2" t="s">
        <v>215</v>
      </c>
      <c r="F62" s="2" t="s">
        <v>359</v>
      </c>
      <c r="G62" s="2" t="s">
        <v>360</v>
      </c>
      <c r="H62" s="2"/>
      <c r="I62" s="2" t="s">
        <v>361</v>
      </c>
      <c r="J62" s="2" t="s">
        <v>362</v>
      </c>
      <c r="K62" s="2"/>
      <c r="L62" s="2"/>
      <c r="M62" s="2"/>
      <c r="N62" s="2"/>
    </row>
    <row r="63" spans="1:14" ht="409.6" x14ac:dyDescent="0.3">
      <c r="A63" s="17">
        <v>46185</v>
      </c>
      <c r="B63" s="4" t="s">
        <v>363</v>
      </c>
      <c r="C63" s="4"/>
      <c r="D63" s="4" t="s">
        <v>320</v>
      </c>
      <c r="E63" s="4" t="s">
        <v>215</v>
      </c>
      <c r="F63" s="4" t="s">
        <v>364</v>
      </c>
      <c r="G63" s="4" t="s">
        <v>365</v>
      </c>
      <c r="H63" s="4"/>
      <c r="I63" s="4" t="s">
        <v>366</v>
      </c>
      <c r="J63" s="4" t="s">
        <v>367</v>
      </c>
      <c r="K63" s="4"/>
      <c r="L63" s="4"/>
      <c r="M63" s="4"/>
      <c r="N63" s="4"/>
    </row>
    <row r="64" spans="1:14" ht="409.6" x14ac:dyDescent="0.3">
      <c r="A64" s="16">
        <v>46185</v>
      </c>
      <c r="B64" s="2" t="s">
        <v>368</v>
      </c>
      <c r="C64" s="2"/>
      <c r="D64" s="2" t="s">
        <v>369</v>
      </c>
      <c r="E64" s="2" t="s">
        <v>215</v>
      </c>
      <c r="F64" s="2" t="s">
        <v>370</v>
      </c>
      <c r="G64" s="2" t="s">
        <v>371</v>
      </c>
      <c r="H64" s="2"/>
      <c r="I64" s="2" t="s">
        <v>372</v>
      </c>
      <c r="J64" s="2" t="s">
        <v>373</v>
      </c>
      <c r="K64" s="2"/>
      <c r="L64" s="2"/>
      <c r="M64" s="2"/>
      <c r="N64" s="2"/>
    </row>
    <row r="65" spans="1:14" ht="396" x14ac:dyDescent="0.3">
      <c r="A65" s="17">
        <v>46185</v>
      </c>
      <c r="B65" s="4" t="s">
        <v>358</v>
      </c>
      <c r="C65" s="4"/>
      <c r="D65" s="4" t="s">
        <v>374</v>
      </c>
      <c r="E65" s="4" t="s">
        <v>20</v>
      </c>
      <c r="F65" s="4" t="s">
        <v>375</v>
      </c>
      <c r="G65" s="4" t="s">
        <v>376</v>
      </c>
      <c r="H65" s="4"/>
      <c r="I65" s="4" t="s">
        <v>372</v>
      </c>
      <c r="J65" s="4" t="s">
        <v>377</v>
      </c>
      <c r="K65" s="4"/>
      <c r="L65" s="4"/>
      <c r="M65" s="4"/>
      <c r="N65" s="4"/>
    </row>
    <row r="66" spans="1:14" ht="409.6" x14ac:dyDescent="0.3">
      <c r="A66" s="16">
        <v>46185</v>
      </c>
      <c r="B66" s="2" t="s">
        <v>378</v>
      </c>
      <c r="C66" s="2" t="s">
        <v>379</v>
      </c>
      <c r="D66" s="2" t="s">
        <v>320</v>
      </c>
      <c r="E66" s="2" t="s">
        <v>20</v>
      </c>
      <c r="F66" s="2" t="s">
        <v>380</v>
      </c>
      <c r="G66" s="2" t="s">
        <v>381</v>
      </c>
      <c r="H66" s="2"/>
      <c r="I66" s="2" t="s">
        <v>382</v>
      </c>
      <c r="J66" s="2" t="s">
        <v>383</v>
      </c>
      <c r="K66" s="2"/>
      <c r="L66" s="2"/>
      <c r="M66" s="2"/>
      <c r="N66" s="2"/>
    </row>
    <row r="67" spans="1:14" ht="343.2" x14ac:dyDescent="0.3">
      <c r="A67" s="17">
        <v>46185</v>
      </c>
      <c r="B67" s="4" t="s">
        <v>378</v>
      </c>
      <c r="C67" s="4" t="s">
        <v>379</v>
      </c>
      <c r="D67" s="4" t="s">
        <v>320</v>
      </c>
      <c r="E67" s="4" t="s">
        <v>20</v>
      </c>
      <c r="F67" s="4" t="s">
        <v>384</v>
      </c>
      <c r="G67" s="4" t="s">
        <v>381</v>
      </c>
      <c r="H67" s="4"/>
      <c r="I67" s="4"/>
      <c r="J67" s="4" t="s">
        <v>385</v>
      </c>
      <c r="K67" s="4"/>
      <c r="L67" s="4"/>
      <c r="M67" s="4"/>
      <c r="N67" s="4"/>
    </row>
    <row r="68" spans="1:14" ht="211.2" x14ac:dyDescent="0.3">
      <c r="A68" s="16">
        <v>46185</v>
      </c>
      <c r="B68" s="2" t="s">
        <v>386</v>
      </c>
      <c r="C68" s="2" t="s">
        <v>379</v>
      </c>
      <c r="D68" s="2" t="s">
        <v>387</v>
      </c>
      <c r="E68" s="2" t="s">
        <v>215</v>
      </c>
      <c r="F68" s="2" t="s">
        <v>388</v>
      </c>
      <c r="G68" s="2" t="s">
        <v>389</v>
      </c>
      <c r="H68" s="2"/>
      <c r="I68" s="2"/>
      <c r="J68" s="2"/>
      <c r="K68" s="2"/>
      <c r="L68" s="2"/>
      <c r="M68" s="2"/>
      <c r="N68" s="2"/>
    </row>
    <row r="69" spans="1:14" ht="237.6" x14ac:dyDescent="0.3">
      <c r="A69" s="17">
        <v>46185</v>
      </c>
      <c r="B69" s="4" t="s">
        <v>264</v>
      </c>
      <c r="C69" s="4" t="s">
        <v>379</v>
      </c>
      <c r="D69" s="4" t="s">
        <v>390</v>
      </c>
      <c r="E69" s="4" t="s">
        <v>215</v>
      </c>
      <c r="F69" s="4" t="s">
        <v>391</v>
      </c>
      <c r="G69" s="4" t="s">
        <v>392</v>
      </c>
      <c r="H69" s="4"/>
      <c r="I69" s="4"/>
      <c r="J69" s="4"/>
      <c r="K69" s="4"/>
      <c r="L69" s="4"/>
      <c r="M69" s="4"/>
      <c r="N69" s="4"/>
    </row>
    <row r="70" spans="1:14" ht="211.2" x14ac:dyDescent="0.3">
      <c r="A70" s="16">
        <v>46185</v>
      </c>
      <c r="B70" s="2" t="s">
        <v>378</v>
      </c>
      <c r="C70" s="2" t="s">
        <v>379</v>
      </c>
      <c r="D70" s="2" t="s">
        <v>320</v>
      </c>
      <c r="E70" s="2" t="s">
        <v>215</v>
      </c>
      <c r="F70" s="2" t="s">
        <v>393</v>
      </c>
      <c r="G70" s="2" t="s">
        <v>381</v>
      </c>
      <c r="H70" s="2"/>
      <c r="I70" s="2"/>
      <c r="J70" s="2"/>
      <c r="K70" s="2"/>
      <c r="L70" s="2"/>
      <c r="M70" s="2"/>
      <c r="N70" s="2"/>
    </row>
    <row r="71" spans="1:14" ht="211.2" x14ac:dyDescent="0.3">
      <c r="A71" s="17">
        <v>46185</v>
      </c>
      <c r="B71" s="4" t="s">
        <v>386</v>
      </c>
      <c r="C71" s="4" t="s">
        <v>379</v>
      </c>
      <c r="D71" s="4" t="s">
        <v>387</v>
      </c>
      <c r="E71" s="4" t="s">
        <v>215</v>
      </c>
      <c r="F71" s="4" t="s">
        <v>388</v>
      </c>
      <c r="G71" s="4" t="s">
        <v>389</v>
      </c>
      <c r="H71" s="4"/>
      <c r="I71" s="4"/>
      <c r="J71" s="4"/>
      <c r="K71" s="4"/>
      <c r="L71" s="4"/>
      <c r="M71" s="4"/>
      <c r="N71" s="4"/>
    </row>
    <row r="72" spans="1:14" ht="237.6" x14ac:dyDescent="0.3">
      <c r="A72" s="16">
        <v>46185</v>
      </c>
      <c r="B72" s="2" t="s">
        <v>264</v>
      </c>
      <c r="C72" s="2" t="s">
        <v>379</v>
      </c>
      <c r="D72" s="2" t="s">
        <v>390</v>
      </c>
      <c r="E72" s="2" t="s">
        <v>215</v>
      </c>
      <c r="F72" s="2" t="s">
        <v>394</v>
      </c>
      <c r="G72" s="2" t="s">
        <v>392</v>
      </c>
      <c r="H72" s="2"/>
      <c r="I72" s="2"/>
      <c r="J72" s="2"/>
      <c r="K72" s="2"/>
      <c r="L72" s="2"/>
      <c r="M72" s="2"/>
      <c r="N72" s="2"/>
    </row>
    <row r="73" spans="1:14" ht="343.2" x14ac:dyDescent="0.3">
      <c r="A73" s="17">
        <v>46185</v>
      </c>
      <c r="B73" s="4" t="s">
        <v>378</v>
      </c>
      <c r="C73" s="4" t="s">
        <v>379</v>
      </c>
      <c r="D73" s="4" t="s">
        <v>320</v>
      </c>
      <c r="E73" s="4" t="s">
        <v>20</v>
      </c>
      <c r="F73" s="4" t="s">
        <v>395</v>
      </c>
      <c r="G73" s="4" t="s">
        <v>381</v>
      </c>
      <c r="H73" s="4"/>
      <c r="I73" s="4"/>
      <c r="J73" s="4" t="s">
        <v>396</v>
      </c>
      <c r="K73" s="4"/>
      <c r="L73" s="4"/>
      <c r="M73" s="4"/>
      <c r="N73" s="4"/>
    </row>
    <row r="74" spans="1:14" ht="343.2" x14ac:dyDescent="0.3">
      <c r="A74" s="16">
        <v>46185</v>
      </c>
      <c r="B74" s="2" t="s">
        <v>378</v>
      </c>
      <c r="C74" s="2" t="s">
        <v>379</v>
      </c>
      <c r="D74" s="2" t="s">
        <v>320</v>
      </c>
      <c r="E74" s="2" t="s">
        <v>20</v>
      </c>
      <c r="F74" s="2" t="s">
        <v>397</v>
      </c>
      <c r="G74" s="2" t="s">
        <v>381</v>
      </c>
      <c r="H74" s="2"/>
      <c r="I74" s="2"/>
      <c r="J74" s="2" t="s">
        <v>398</v>
      </c>
      <c r="K74" s="2"/>
      <c r="L74" s="2"/>
      <c r="M74" s="2"/>
      <c r="N74" s="2"/>
    </row>
    <row r="75" spans="1:14" ht="237.6" x14ac:dyDescent="0.3">
      <c r="A75" s="17">
        <v>46185</v>
      </c>
      <c r="B75" s="4" t="s">
        <v>378</v>
      </c>
      <c r="C75" s="4" t="s">
        <v>379</v>
      </c>
      <c r="D75" s="4" t="s">
        <v>320</v>
      </c>
      <c r="E75" s="4" t="s">
        <v>215</v>
      </c>
      <c r="F75" s="4" t="s">
        <v>399</v>
      </c>
      <c r="G75" s="4" t="s">
        <v>381</v>
      </c>
      <c r="H75" s="4"/>
      <c r="I75" s="4"/>
      <c r="J75" s="4"/>
      <c r="K75" s="4"/>
      <c r="L75" s="4"/>
      <c r="M75" s="4"/>
      <c r="N75" s="4"/>
    </row>
    <row r="76" spans="1:14" ht="224.4" x14ac:dyDescent="0.3">
      <c r="A76" s="16">
        <v>46185</v>
      </c>
      <c r="B76" s="2" t="s">
        <v>386</v>
      </c>
      <c r="C76" s="2" t="s">
        <v>379</v>
      </c>
      <c r="D76" s="2" t="s">
        <v>387</v>
      </c>
      <c r="E76" s="2" t="s">
        <v>215</v>
      </c>
      <c r="F76" s="2" t="s">
        <v>400</v>
      </c>
      <c r="G76" s="2" t="s">
        <v>389</v>
      </c>
      <c r="H76" s="2"/>
      <c r="I76" s="2"/>
      <c r="J76" s="2"/>
      <c r="K76" s="2"/>
      <c r="L76" s="2"/>
      <c r="M76" s="2"/>
      <c r="N76" s="2"/>
    </row>
    <row r="77" spans="1:14" ht="224.4" x14ac:dyDescent="0.3">
      <c r="A77" s="17">
        <v>46185</v>
      </c>
      <c r="B77" s="4" t="s">
        <v>264</v>
      </c>
      <c r="C77" s="4" t="s">
        <v>379</v>
      </c>
      <c r="D77" s="4" t="s">
        <v>390</v>
      </c>
      <c r="E77" s="4" t="s">
        <v>215</v>
      </c>
      <c r="F77" s="4" t="s">
        <v>401</v>
      </c>
      <c r="G77" s="4" t="s">
        <v>392</v>
      </c>
      <c r="H77" s="4"/>
      <c r="I77" s="4"/>
      <c r="J77" s="4"/>
      <c r="K77" s="4"/>
      <c r="L77" s="4"/>
      <c r="M77" s="4"/>
      <c r="N77" s="4"/>
    </row>
    <row r="78" spans="1:14" ht="211.2" x14ac:dyDescent="0.3">
      <c r="A78" s="16">
        <v>46185</v>
      </c>
      <c r="B78" s="2" t="s">
        <v>386</v>
      </c>
      <c r="C78" s="2" t="s">
        <v>379</v>
      </c>
      <c r="D78" s="2" t="s">
        <v>387</v>
      </c>
      <c r="E78" s="2" t="s">
        <v>215</v>
      </c>
      <c r="F78" s="2" t="s">
        <v>388</v>
      </c>
      <c r="G78" s="2" t="s">
        <v>389</v>
      </c>
      <c r="H78" s="2"/>
      <c r="I78" s="2"/>
      <c r="J78" s="2"/>
      <c r="K78" s="2"/>
      <c r="L78" s="2"/>
      <c r="M78" s="2"/>
      <c r="N78" s="2"/>
    </row>
    <row r="79" spans="1:14" ht="211.2" x14ac:dyDescent="0.3">
      <c r="A79" s="17">
        <v>46185</v>
      </c>
      <c r="B79" s="4" t="s">
        <v>402</v>
      </c>
      <c r="C79" s="4" t="s">
        <v>379</v>
      </c>
      <c r="D79" s="4" t="s">
        <v>403</v>
      </c>
      <c r="E79" s="4" t="s">
        <v>215</v>
      </c>
      <c r="F79" s="4" t="s">
        <v>404</v>
      </c>
      <c r="G79" s="4" t="s">
        <v>405</v>
      </c>
      <c r="H79" s="4"/>
      <c r="I79" s="4"/>
      <c r="J79" s="4"/>
      <c r="K79" s="4"/>
      <c r="L79" s="4"/>
      <c r="M79" s="4"/>
      <c r="N79" s="4"/>
    </row>
    <row r="80" spans="1:14" ht="330" x14ac:dyDescent="0.3">
      <c r="A80" s="16">
        <v>46185</v>
      </c>
      <c r="B80" s="2" t="s">
        <v>406</v>
      </c>
      <c r="C80" s="2" t="s">
        <v>379</v>
      </c>
      <c r="D80" s="2" t="s">
        <v>337</v>
      </c>
      <c r="E80" s="2" t="s">
        <v>20</v>
      </c>
      <c r="F80" s="2" t="s">
        <v>407</v>
      </c>
      <c r="G80" s="2" t="s">
        <v>408</v>
      </c>
      <c r="H80" s="2"/>
      <c r="I80" s="2"/>
      <c r="J80" s="2" t="s">
        <v>409</v>
      </c>
      <c r="K80" s="2"/>
      <c r="L80" s="2"/>
      <c r="M80" s="2"/>
      <c r="N80" s="2"/>
    </row>
    <row r="81" spans="1:14" ht="211.2" x14ac:dyDescent="0.3">
      <c r="A81" s="17">
        <v>46185</v>
      </c>
      <c r="B81" s="4" t="s">
        <v>264</v>
      </c>
      <c r="C81" s="4" t="s">
        <v>379</v>
      </c>
      <c r="D81" s="4" t="s">
        <v>410</v>
      </c>
      <c r="E81" s="4" t="s">
        <v>215</v>
      </c>
      <c r="F81" s="4" t="s">
        <v>411</v>
      </c>
      <c r="G81" s="4" t="s">
        <v>412</v>
      </c>
      <c r="H81" s="4"/>
      <c r="I81" s="4"/>
      <c r="J81" s="4"/>
      <c r="K81" s="4"/>
      <c r="L81" s="4"/>
      <c r="M81" s="4"/>
      <c r="N81" s="4"/>
    </row>
    <row r="82" spans="1:14" ht="105.6" x14ac:dyDescent="0.3">
      <c r="A82" s="16">
        <v>46185</v>
      </c>
      <c r="B82" s="2" t="s">
        <v>406</v>
      </c>
      <c r="C82" s="2" t="s">
        <v>379</v>
      </c>
      <c r="D82" s="2"/>
      <c r="E82" s="2" t="s">
        <v>20</v>
      </c>
      <c r="F82" s="2" t="s">
        <v>413</v>
      </c>
      <c r="G82" s="2" t="s">
        <v>408</v>
      </c>
      <c r="H82" s="2"/>
      <c r="I82" s="2"/>
      <c r="J82" s="2"/>
      <c r="K82" s="2"/>
      <c r="L82" s="2"/>
      <c r="M82" s="2"/>
      <c r="N82" s="2"/>
    </row>
    <row r="83" spans="1:14" ht="211.2" x14ac:dyDescent="0.3">
      <c r="A83" s="17">
        <v>46185</v>
      </c>
      <c r="B83" s="4" t="s">
        <v>386</v>
      </c>
      <c r="C83" s="4" t="s">
        <v>379</v>
      </c>
      <c r="D83" s="4" t="s">
        <v>387</v>
      </c>
      <c r="E83" s="4" t="s">
        <v>215</v>
      </c>
      <c r="F83" s="4" t="s">
        <v>388</v>
      </c>
      <c r="G83" s="4" t="s">
        <v>389</v>
      </c>
      <c r="H83" s="4"/>
      <c r="I83" s="4"/>
      <c r="J83" s="4"/>
      <c r="K83" s="4"/>
      <c r="L83" s="4"/>
      <c r="M83" s="4"/>
      <c r="N83" s="4"/>
    </row>
    <row r="84" spans="1:14" ht="237.6" x14ac:dyDescent="0.3">
      <c r="A84" s="16">
        <v>46185</v>
      </c>
      <c r="B84" s="2" t="s">
        <v>264</v>
      </c>
      <c r="C84" s="2" t="s">
        <v>379</v>
      </c>
      <c r="D84" s="2" t="s">
        <v>390</v>
      </c>
      <c r="E84" s="2" t="s">
        <v>215</v>
      </c>
      <c r="F84" s="2" t="s">
        <v>414</v>
      </c>
      <c r="G84" s="2" t="s">
        <v>392</v>
      </c>
      <c r="H84" s="2"/>
      <c r="I84" s="2"/>
      <c r="J84" s="2"/>
      <c r="K84" s="2"/>
      <c r="L84" s="2"/>
      <c r="M84" s="2"/>
      <c r="N84" s="2"/>
    </row>
    <row r="85" spans="1:14" ht="409.6" x14ac:dyDescent="0.3">
      <c r="A85" s="17">
        <v>46185</v>
      </c>
      <c r="B85" s="4" t="s">
        <v>402</v>
      </c>
      <c r="C85" s="4" t="s">
        <v>379</v>
      </c>
      <c r="D85" s="4" t="s">
        <v>403</v>
      </c>
      <c r="E85" s="4" t="s">
        <v>20</v>
      </c>
      <c r="F85" s="4" t="s">
        <v>415</v>
      </c>
      <c r="G85" s="4" t="s">
        <v>405</v>
      </c>
      <c r="H85" s="4"/>
      <c r="I85" s="4" t="s">
        <v>416</v>
      </c>
      <c r="J85" s="4" t="s">
        <v>417</v>
      </c>
      <c r="K85" s="4"/>
      <c r="L85" s="4"/>
      <c r="M85" s="4"/>
      <c r="N85" s="4"/>
    </row>
    <row r="86" spans="1:14" ht="224.4" x14ac:dyDescent="0.3">
      <c r="A86" s="16">
        <v>46185</v>
      </c>
      <c r="B86" s="2" t="s">
        <v>264</v>
      </c>
      <c r="C86" s="2" t="s">
        <v>379</v>
      </c>
      <c r="D86" s="2" t="s">
        <v>418</v>
      </c>
      <c r="E86" s="2" t="s">
        <v>215</v>
      </c>
      <c r="F86" s="2" t="s">
        <v>419</v>
      </c>
      <c r="G86" s="2" t="s">
        <v>420</v>
      </c>
      <c r="H86" s="2"/>
      <c r="I86" s="2"/>
      <c r="J86" s="2"/>
      <c r="K86" s="2"/>
      <c r="L86" s="2"/>
      <c r="M86" s="2"/>
      <c r="N86" s="2"/>
    </row>
    <row r="87" spans="1:14" ht="211.2" x14ac:dyDescent="0.3">
      <c r="A87" s="17">
        <v>46185</v>
      </c>
      <c r="B87" s="4" t="s">
        <v>264</v>
      </c>
      <c r="C87" s="4" t="s">
        <v>379</v>
      </c>
      <c r="D87" s="4" t="s">
        <v>410</v>
      </c>
      <c r="E87" s="4" t="s">
        <v>215</v>
      </c>
      <c r="F87" s="4" t="s">
        <v>411</v>
      </c>
      <c r="G87" s="4" t="s">
        <v>412</v>
      </c>
      <c r="H87" s="4"/>
      <c r="I87" s="4"/>
      <c r="J87" s="4"/>
      <c r="K87" s="4"/>
      <c r="L87" s="4"/>
      <c r="M87" s="4"/>
      <c r="N87" s="4"/>
    </row>
    <row r="88" spans="1:14" ht="409.6" x14ac:dyDescent="0.3">
      <c r="A88" s="16">
        <v>46185</v>
      </c>
      <c r="B88" s="2" t="s">
        <v>264</v>
      </c>
      <c r="C88" s="2" t="s">
        <v>379</v>
      </c>
      <c r="D88" s="2" t="s">
        <v>410</v>
      </c>
      <c r="E88" s="2" t="s">
        <v>20</v>
      </c>
      <c r="F88" s="2" t="s">
        <v>421</v>
      </c>
      <c r="G88" s="2" t="s">
        <v>422</v>
      </c>
      <c r="H88" s="2"/>
      <c r="I88" s="2" t="s">
        <v>423</v>
      </c>
      <c r="J88" s="2" t="s">
        <v>424</v>
      </c>
      <c r="K88" s="2"/>
      <c r="L88" s="2"/>
      <c r="M88" s="2"/>
      <c r="N88" s="2"/>
    </row>
    <row r="89" spans="1:14" ht="409.6" x14ac:dyDescent="0.3">
      <c r="A89" s="17">
        <v>46185</v>
      </c>
      <c r="B89" s="4" t="s">
        <v>196</v>
      </c>
      <c r="C89" s="4" t="s">
        <v>379</v>
      </c>
      <c r="D89" s="4" t="s">
        <v>425</v>
      </c>
      <c r="E89" s="4" t="s">
        <v>20</v>
      </c>
      <c r="F89" s="4" t="s">
        <v>426</v>
      </c>
      <c r="G89" s="4" t="s">
        <v>427</v>
      </c>
      <c r="H89" s="4"/>
      <c r="I89" s="4" t="s">
        <v>428</v>
      </c>
      <c r="J89" s="4" t="s">
        <v>429</v>
      </c>
      <c r="K89" s="4"/>
      <c r="L89" s="4"/>
      <c r="M89" s="4"/>
      <c r="N89" s="4"/>
    </row>
    <row r="90" spans="1:14" ht="211.2" x14ac:dyDescent="0.3">
      <c r="A90" s="16">
        <v>46185</v>
      </c>
      <c r="B90" s="2" t="s">
        <v>430</v>
      </c>
      <c r="C90" s="2" t="s">
        <v>379</v>
      </c>
      <c r="D90" s="2" t="s">
        <v>431</v>
      </c>
      <c r="E90" s="2" t="s">
        <v>215</v>
      </c>
      <c r="F90" s="2" t="s">
        <v>432</v>
      </c>
      <c r="G90" s="2" t="s">
        <v>433</v>
      </c>
      <c r="H90" s="2"/>
      <c r="I90" s="2"/>
      <c r="J90" s="2"/>
      <c r="K90" s="2"/>
      <c r="L90" s="2"/>
      <c r="M90" s="2"/>
      <c r="N90" s="2"/>
    </row>
    <row r="91" spans="1:14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</sheetData>
  <autoFilter ref="A1:N1" xr:uid="{00000000-0009-0000-0000-000000000000}"/>
  <dataValidations count="2">
    <dataValidation type="list" allowBlank="1" sqref="H2:H199" xr:uid="{00000000-0002-0000-0000-000000000000}">
      <formula1>"Saved,Applied,Phone Screen,Interview,Onsite/Final,Offer,Rejected,Withdrawn,No Response"</formula1>
    </dataValidation>
    <dataValidation type="list" allowBlank="1" sqref="G2:G199" xr:uid="{00000000-0002-0000-0000-000001000000}">
      <formula1>"Onsite,Remote,Hybrid"</formula1>
    </dataValidation>
  </dataValidations>
  <hyperlinks>
    <hyperlink ref="J2" r:id="rId1" xr:uid="{00000000-0004-0000-0000-000000000000}"/>
    <hyperlink ref="K2" r:id="rId2" xr:uid="{00000000-0004-0000-0000-000001000000}"/>
    <hyperlink ref="K4" r:id="rId3" xr:uid="{00000000-0004-0000-0000-000002000000}"/>
    <hyperlink ref="K5" r:id="rId4" xr:uid="{00000000-0004-0000-0000-000003000000}"/>
    <hyperlink ref="J6" r:id="rId5" xr:uid="{00000000-0004-0000-0000-000004000000}"/>
    <hyperlink ref="K6" r:id="rId6" xr:uid="{00000000-0004-0000-0000-000005000000}"/>
    <hyperlink ref="J7" r:id="rId7" xr:uid="{00000000-0004-0000-0000-000006000000}"/>
    <hyperlink ref="K7" r:id="rId8" xr:uid="{00000000-0004-0000-0000-000007000000}"/>
    <hyperlink ref="K8" r:id="rId9" xr:uid="{00000000-0004-0000-0000-00000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22" customWidth="1"/>
    <col min="2" max="2" width="12" customWidth="1"/>
  </cols>
  <sheetData>
    <row r="1" spans="1:2" ht="17.399999999999999" customHeight="1" x14ac:dyDescent="0.3">
      <c r="A1" s="5" t="s">
        <v>70</v>
      </c>
    </row>
    <row r="3" spans="1:2" x14ac:dyDescent="0.3">
      <c r="A3" s="6" t="s">
        <v>71</v>
      </c>
      <c r="B3" s="7">
        <f>COUNTA(Applications!C2:C199)</f>
        <v>76</v>
      </c>
    </row>
    <row r="4" spans="1:2" x14ac:dyDescent="0.3">
      <c r="A4" s="8" t="s">
        <v>20</v>
      </c>
      <c r="B4" s="9">
        <f>COUNTIF(Applications!H2:H199,"Applied")</f>
        <v>7</v>
      </c>
    </row>
    <row r="5" spans="1:2" x14ac:dyDescent="0.3">
      <c r="A5" s="8" t="s">
        <v>72</v>
      </c>
      <c r="B5" s="9">
        <f>COUNTIF(Applications!H2:H199,"Phone Screen")</f>
        <v>0</v>
      </c>
    </row>
    <row r="6" spans="1:2" x14ac:dyDescent="0.3">
      <c r="A6" s="8" t="s">
        <v>73</v>
      </c>
      <c r="B6" s="9">
        <f>COUNTIF(Applications!H2:H199,"Interview")</f>
        <v>0</v>
      </c>
    </row>
    <row r="7" spans="1:2" x14ac:dyDescent="0.3">
      <c r="A7" s="8" t="s">
        <v>74</v>
      </c>
      <c r="B7" s="9">
        <f>COUNTIF(Applications!H2:H199,"Onsite/Final")</f>
        <v>0</v>
      </c>
    </row>
    <row r="8" spans="1:2" x14ac:dyDescent="0.3">
      <c r="A8" s="8" t="s">
        <v>75</v>
      </c>
      <c r="B8" s="9">
        <f>COUNTIF(Applications!H2:H199,"Offer")</f>
        <v>0</v>
      </c>
    </row>
    <row r="9" spans="1:2" x14ac:dyDescent="0.3">
      <c r="A9" s="8" t="s">
        <v>76</v>
      </c>
      <c r="B9" s="9">
        <f>COUNTIF(Applications!H2:H199,"Rejected")</f>
        <v>0</v>
      </c>
    </row>
    <row r="10" spans="1:2" x14ac:dyDescent="0.3">
      <c r="A10" s="8" t="s">
        <v>77</v>
      </c>
      <c r="B10" s="9">
        <f>COUNTIF(Applications!H2:H199,"No Response")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9"/>
  <sheetViews>
    <sheetView showGridLines="0" workbookViewId="0"/>
  </sheetViews>
  <sheetFormatPr defaultRowHeight="14.4" x14ac:dyDescent="0.3"/>
  <cols>
    <col min="1" max="1" width="110" customWidth="1"/>
  </cols>
  <sheetData>
    <row r="1" spans="1:1" ht="21" customHeight="1" x14ac:dyDescent="0.3">
      <c r="A1" s="10" t="s">
        <v>78</v>
      </c>
    </row>
    <row r="2" spans="1:1" x14ac:dyDescent="0.3">
      <c r="A2" s="11" t="s">
        <v>79</v>
      </c>
    </row>
    <row r="3" spans="1:1" x14ac:dyDescent="0.3">
      <c r="A3" s="12" t="s">
        <v>80</v>
      </c>
    </row>
    <row r="4" spans="1:1" x14ac:dyDescent="0.3">
      <c r="A4" s="13"/>
    </row>
    <row r="5" spans="1:1" x14ac:dyDescent="0.3">
      <c r="A5" s="13" t="s">
        <v>81</v>
      </c>
    </row>
    <row r="6" spans="1:1" x14ac:dyDescent="0.3">
      <c r="A6" s="13"/>
    </row>
    <row r="7" spans="1:1" x14ac:dyDescent="0.3">
      <c r="A7" s="13" t="s">
        <v>82</v>
      </c>
    </row>
    <row r="8" spans="1:1" x14ac:dyDescent="0.3">
      <c r="A8" s="13" t="s">
        <v>83</v>
      </c>
    </row>
    <row r="9" spans="1:1" x14ac:dyDescent="0.3">
      <c r="A9" s="13" t="s">
        <v>84</v>
      </c>
    </row>
    <row r="10" spans="1:1" x14ac:dyDescent="0.3">
      <c r="A10" s="13"/>
    </row>
    <row r="11" spans="1:1" x14ac:dyDescent="0.3">
      <c r="A11" s="14" t="s">
        <v>85</v>
      </c>
    </row>
    <row r="12" spans="1:1" x14ac:dyDescent="0.3">
      <c r="A12" s="13"/>
    </row>
    <row r="13" spans="1:1" x14ac:dyDescent="0.3">
      <c r="A13" s="13" t="s">
        <v>86</v>
      </c>
    </row>
    <row r="14" spans="1:1" x14ac:dyDescent="0.3">
      <c r="A14" s="13"/>
    </row>
    <row r="15" spans="1:1" ht="55.2" customHeight="1" x14ac:dyDescent="0.3">
      <c r="A15" s="13" t="s">
        <v>87</v>
      </c>
    </row>
    <row r="16" spans="1:1" x14ac:dyDescent="0.3">
      <c r="A16" s="13"/>
    </row>
    <row r="17" spans="1:1" x14ac:dyDescent="0.3">
      <c r="A17" s="13" t="s">
        <v>88</v>
      </c>
    </row>
    <row r="18" spans="1:1" ht="41.4" customHeight="1" x14ac:dyDescent="0.3">
      <c r="A18" s="13" t="s">
        <v>89</v>
      </c>
    </row>
    <row r="19" spans="1:1" ht="41.4" customHeight="1" x14ac:dyDescent="0.3">
      <c r="A19" s="13" t="s">
        <v>90</v>
      </c>
    </row>
    <row r="20" spans="1:1" ht="41.4" customHeight="1" x14ac:dyDescent="0.3">
      <c r="A20" s="13" t="s">
        <v>91</v>
      </c>
    </row>
    <row r="21" spans="1:1" ht="41.4" customHeight="1" x14ac:dyDescent="0.3">
      <c r="A21" s="13" t="s">
        <v>92</v>
      </c>
    </row>
    <row r="22" spans="1:1" ht="27.6" customHeight="1" x14ac:dyDescent="0.3">
      <c r="A22" s="13" t="s">
        <v>93</v>
      </c>
    </row>
    <row r="23" spans="1:1" x14ac:dyDescent="0.3">
      <c r="A23" s="13"/>
    </row>
    <row r="24" spans="1:1" ht="41.4" customHeight="1" x14ac:dyDescent="0.3">
      <c r="A24" s="13" t="s">
        <v>94</v>
      </c>
    </row>
    <row r="25" spans="1:1" x14ac:dyDescent="0.3">
      <c r="A25" s="13"/>
    </row>
    <row r="26" spans="1:1" ht="27.6" customHeight="1" x14ac:dyDescent="0.3">
      <c r="A26" s="13" t="s">
        <v>95</v>
      </c>
    </row>
    <row r="27" spans="1:1" x14ac:dyDescent="0.3">
      <c r="A27" s="13"/>
    </row>
    <row r="28" spans="1:1" x14ac:dyDescent="0.3">
      <c r="A28" s="13" t="s">
        <v>96</v>
      </c>
    </row>
    <row r="29" spans="1:1" x14ac:dyDescent="0.3">
      <c r="A29" s="14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Applications</vt:lpstr>
      <vt:lpstr>Summary</vt:lpstr>
      <vt:lpstr>Cover Letter - John Deere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Shrestha</cp:lastModifiedBy>
  <dcterms:created xsi:type="dcterms:W3CDTF">2026-06-11T22:29:00Z</dcterms:created>
  <dcterms:modified xsi:type="dcterms:W3CDTF">2026-06-13T06:43:03Z</dcterms:modified>
</cp:coreProperties>
</file>